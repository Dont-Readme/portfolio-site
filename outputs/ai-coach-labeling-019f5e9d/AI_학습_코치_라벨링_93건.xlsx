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033762c60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3240837706046ce"/>
    <x:sheet xmlns:r="http://schemas.openxmlformats.org/officeDocument/2006/relationships" name="개인적합도" sheetId="2" r:id="Ra16ed70d9d004432"/>
    <x:sheet xmlns:r="http://schemas.openxmlformats.org/officeDocument/2006/relationships" name="최종관련도" sheetId="3" r:id="R4c419ce43c644914"/>
    <x:sheet xmlns:r="http://schemas.openxmlformats.org/officeDocument/2006/relationships" name="판단기준" sheetId="4" r:id="Rb2916d439011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0.00"/>
    <x:numFmt numFmtId="203" formatCode="0.0%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0B4F42"/>
      <x:name val="Carlito"/>
    </x:font>
    <x:font>
      <x:b/>
      <x:sz val="11"/>
      <x:color rgb="FFFFFFFF"/>
      <x:name val="Carlito"/>
    </x:font>
    <x:font>
      <x:b/>
      <x:sz val="12"/>
      <x:color rgb="FF142019"/>
      <x:name val="Carlito"/>
    </x:font>
    <x:font>
      <x:b/>
      <x:sz val="9"/>
      <x:color rgb="FFFFFFFF"/>
      <x:name val="Carlito"/>
    </x:font>
    <x:font>
      <x:sz val="10"/>
      <x:color rgb="FF142019"/>
      <x:name val="Carlito"/>
    </x:font>
    <x:font>
      <x:sz val="9"/>
      <x:color rgb="FF142019"/>
      <x:name val="Carlito"/>
    </x:font>
    <x:font>
      <x:sz val="11"/>
      <x:color rgb="FF142019"/>
      <x:name val="Carlito"/>
    </x:font>
    <x:font>
      <x:sz val="11"/>
      <x:color rgb="FF0B4F4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019"/>
      </x:patternFill>
    </x:fill>
    <x:fill>
      <x:patternFill patternType="solid">
        <x:fgColor rgb="FFEAF5F1"/>
      </x:patternFill>
    </x:fill>
    <x:fill>
      <x:patternFill patternType="solid">
        <x:fgColor rgb="FF14705A"/>
      </x:patternFill>
    </x:fill>
    <x:fill>
      <x:patternFill patternType="solid">
        <x:fgColor rgb="FFF5F7F6"/>
      </x:patternFill>
    </x:fill>
    <x:fill>
      <x:patternFill patternType="solid">
        <x:fgColor rgb="FFFBFCFC"/>
      </x:patternFill>
    </x:fill>
    <x:fill>
      <x:patternFill patternType="solid">
        <x:fgColor rgb="FFEAF1FA"/>
      </x:patternFill>
    </x:fill>
    <x:fill>
      <x:patternFill patternType="solid">
        <x:fgColor rgb="FFFFF4D6"/>
      </x:patternFill>
    </x:fill>
  </x:fills>
  <x:borders count="16">
    <x:border/>
    <x:border>
      <x:left style="thin">
        <x:color rgb="FFD6DEDA"/>
      </x:left>
      <x:top style="thin">
        <x:color rgb="FFD6DEDA"/>
      </x:top>
    </x:border>
    <x:border>
      <x:top style="thin">
        <x:color rgb="FFD6DEDA"/>
      </x:top>
    </x:border>
    <x:border>
      <x:right style="thin">
        <x:color rgb="FFD6DEDA"/>
      </x:right>
      <x:top style="thin">
        <x:color rgb="FFD6DEDA"/>
      </x:top>
    </x:border>
    <x:border>
      <x:left style="thin">
        <x:color rgb="FFD6DEDA"/>
      </x:left>
      <x:bottom style="thin">
        <x:color rgb="FFD6DEDA"/>
      </x:bottom>
    </x:border>
    <x:border>
      <x:bottom style="thin">
        <x:color rgb="FFD6DEDA"/>
      </x:bottom>
    </x:border>
    <x:border>
      <x:right style="thin">
        <x:color rgb="FFD6DEDA"/>
      </x:right>
      <x:bottom style="thin">
        <x:color rgb="FFD6DEDA"/>
      </x:bottom>
    </x:border>
    <x:border>
      <x:left style="thin">
        <x:color rgb="FF0B4F42"/>
      </x:left>
      <x:top style="thin">
        <x:color rgb="FF0B4F42"/>
      </x:top>
      <x:bottom style="thin">
        <x:color rgb="FF0B4F42"/>
      </x:bottom>
    </x:border>
    <x:border>
      <x:top style="thin">
        <x:color rgb="FF0B4F42"/>
      </x:top>
      <x:bottom style="thin">
        <x:color rgb="FF0B4F42"/>
      </x:bottom>
    </x:border>
    <x:border>
      <x:right style="thin">
        <x:color rgb="FF0B4F42"/>
      </x:right>
      <x:top style="thin">
        <x:color rgb="FF0B4F42"/>
      </x:top>
      <x:bottom style="thin">
        <x:color rgb="FF0B4F42"/>
      </x:bottom>
    </x:border>
    <x:border>
      <x:left style="thin">
        <x:color rgb="FFD6DEDA"/>
      </x:left>
      <x:right style="thin">
        <x:color rgb="FFD6DEDA"/>
      </x:right>
      <x:bottom style="thin">
        <x:color rgb="FFD6DEDA"/>
      </x:bottom>
    </x:border>
    <x:border>
      <x:right style="thin">
        <x:color rgb="FFD6DEDA"/>
      </x:right>
      <x:top style="thin">
        <x:color rgb="FFD6DEDA"/>
      </x:top>
      <x:bottom style="thin">
        <x:color rgb="FFD6DEDA"/>
      </x:bottom>
    </x:border>
    <x:border>
      <x:left style="thin">
        <x:color rgb="FFD6DEDA"/>
      </x:left>
      <x:right style="thin">
        <x:color rgb="FFD6DEDA"/>
      </x:right>
      <x:top style="thin">
        <x:color rgb="FFD6DEDA"/>
      </x:top>
      <x:bottom style="thin">
        <x:color rgb="FFD6DEDA"/>
      </x:bottom>
    </x:border>
    <x:border>
      <x:left style="thin">
        <x:color rgb="FFD6DEDA"/>
      </x:left>
      <x:top style="thin">
        <x:color rgb="FFD6DEDA"/>
      </x:top>
      <x:bottom style="thin">
        <x:color rgb="FFD6DEDA"/>
      </x:bottom>
    </x:border>
    <x:border>
      <x:left style="thin">
        <x:color rgb="FFD6DEDA"/>
      </x:left>
      <x:right style="thin">
        <x:color rgb="FFD6DEDA"/>
      </x:right>
      <x:top style="thin">
        <x:color rgb="FFD6DEDA"/>
      </x:top>
    </x:border>
    <x:border>
      <x:top style="thin">
        <x:color rgb="FFD6DEDA"/>
      </x:top>
      <x:bottom style="thin">
        <x:color rgb="FFD6DEDA"/>
      </x:bottom>
    </x:border>
  </x:borders>
  <x:cellStyleXfs count="1">
    <x:xf numFmtId="0" fontId="0" fillId="0" borderId="0"/>
  </x:cellStyleXfs>
  <x:cellXfs count="1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20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horizontal="center" wrapText="1"/>
    </x:xf>
    <x:xf numFmtId="0" fontId="5" fillId="4" borderId="9" xfId="0" applyNumberFormat="1" applyFont="1" applyFill="1" applyBorder="1" applyAlignment="1">
      <x:alignment horizont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3" xfId="0" applyNumberFormat="1" applyFont="1" applyFill="1" applyBorder="1"/>
    <x:xf numFmtId="0" fontId="0" fillId="0" borderId="14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2" fontId="0" fillId="0" borderId="10" xfId="0" applyNumberFormat="1" applyFont="1" applyFill="1" applyBorder="1" applyAlignment="1">
      <x:alignment vertical="center"/>
    </x:xf>
    <x:xf numFmtId="202" fontId="0" fillId="0" borderId="12" xfId="0" applyNumberFormat="1" applyFont="1" applyFill="1" applyBorder="1" applyAlignment="1">
      <x:alignment vertical="center"/>
    </x:xf>
    <x:xf numFmtId="202" fontId="0" fillId="0" borderId="14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20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15" xfId="0" applyNumberFormat="1" applyFont="1" applyFill="1" applyBorder="1"/>
    <x:xf numFmtId="0" fontId="7" fillId="0" borderId="2" xfId="0" applyNumberFormat="1" applyFont="1" applyFill="1" applyBorder="1"/>
    <x:xf numFmtId="0" fontId="7" fillId="0" borderId="5" xfId="0" applyNumberFormat="1" applyFont="1" applyFill="1" applyBorder="1" applyAlignment="1">
      <x:alignment vertical="center"/>
    </x:xf>
    <x:xf numFmtId="0" fontId="7" fillId="0" borderId="15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7" fillId="6" borderId="5" xfId="0" applyNumberFormat="1" applyFont="1" applyFill="1" applyBorder="1" applyAlignment="1">
      <x:alignment vertical="center"/>
    </x:xf>
    <x:xf numFmtId="0" fontId="7" fillId="6" borderId="15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15" xfId="0" applyNumberFormat="1" applyFont="1" applyFill="1" applyBorder="1" applyAlignment="1">
      <x:alignment vertical="center"/>
    </x:xf>
    <x:xf numFmtId="0" fontId="7" fillId="7" borderId="2" xfId="0" applyNumberFormat="1" applyFont="1" applyFill="1" applyBorder="1" applyAlignment="1">
      <x:alignment vertical="center"/>
    </x:xf>
    <x:xf numFmtId="0" fontId="7" fillId="8" borderId="5" xfId="0" applyNumberFormat="1" applyFont="1" applyFill="1" applyBorder="1" applyAlignment="1">
      <x:alignment vertical="center"/>
    </x:xf>
    <x:xf numFmtId="0" fontId="7" fillId="8" borderId="15" xfId="0" applyNumberFormat="1" applyFont="1" applyFill="1" applyBorder="1" applyAlignment="1">
      <x:alignment vertical="center"/>
    </x:xf>
    <x:xf numFmtId="0" fontId="7" fillId="8" borderId="2" xfId="0" applyNumberFormat="1" applyFont="1" applyFill="1" applyBorder="1" applyAlignment="1">
      <x:alignment vertical="center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0" borderId="15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15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vertical="center" wrapText="1"/>
    </x:xf>
    <x:xf numFmtId="201" fontId="7" fillId="7" borderId="5" xfId="0" applyNumberFormat="1" applyFont="1" applyFill="1" applyBorder="1" applyAlignment="1">
      <x:alignment vertical="center"/>
    </x:xf>
    <x:xf numFmtId="201" fontId="7" fillId="7" borderId="15" xfId="0" applyNumberFormat="1" applyFont="1" applyFill="1" applyBorder="1" applyAlignment="1">
      <x:alignment vertical="center"/>
    </x:xf>
    <x:xf numFmtId="201" fontId="7" fillId="7" borderId="2" xfId="0" applyNumberFormat="1" applyFont="1" applyFill="1" applyBorder="1" applyAlignment="1">
      <x:alignment vertical="center"/>
    </x:xf>
    <x:xf numFmtId="0" fontId="7" fillId="3" borderId="5" xfId="0" applyNumberFormat="1" applyFont="1" applyFill="1" applyBorder="1" applyAlignment="1">
      <x:alignment vertical="center"/>
    </x:xf>
    <x:xf numFmtId="0" fontId="7" fillId="3" borderId="15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vertical="center"/>
    </x:xf>
    <x:xf numFmtId="201" fontId="7" fillId="3" borderId="5" xfId="0" applyNumberFormat="1" applyFont="1" applyFill="1" applyBorder="1" applyAlignment="1">
      <x:alignment vertical="center"/>
    </x:xf>
    <x:xf numFmtId="201" fontId="7" fillId="3" borderId="15" xfId="0" applyNumberFormat="1" applyFont="1" applyFill="1" applyBorder="1" applyAlignment="1">
      <x:alignment vertical="center"/>
    </x:xf>
    <x:xf numFmtId="201" fontId="7" fillId="3" borderId="2" xfId="0" applyNumberFormat="1" applyFont="1" applyFill="1" applyBorder="1" applyAlignment="1">
      <x:alignment vertical="center"/>
    </x:xf>
    <x:xf numFmtId="203" fontId="7" fillId="3" borderId="5" xfId="0" applyNumberFormat="1" applyFont="1" applyFill="1" applyBorder="1" applyAlignment="1">
      <x:alignment vertical="center"/>
    </x:xf>
    <x:xf numFmtId="203" fontId="7" fillId="3" borderId="15" xfId="0" applyNumberFormat="1" applyFont="1" applyFill="1" applyBorder="1" applyAlignment="1">
      <x:alignment vertical="center"/>
    </x:xf>
    <x:xf numFmtId="203" fontId="7" fillId="3" borderId="2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F2D20"/>
      </x:font>
      <x:fill>
        <x:patternFill patternType="solid">
          <x:bgColor rgb="FFFDE8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245B8A"/>
      </x:font>
      <x:fill>
        <x:patternFill patternType="solid">
          <x:bgColor rgb="FFEAF1FA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F2D20"/>
      </x:font>
      <x:fill>
        <x:patternFill patternType="solid">
          <x:bgColor rgb="FFFDE8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F2D20"/>
      </x:font>
      <x:fill>
        <x:patternFill patternType="solid">
          <x:bgColor rgb="FFFDE8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F2D20"/>
      </x:font>
      <x:fill>
        <x:patternFill patternType="solid">
          <x:bgColor rgb="FFFDE8E7"/>
        </x:patternFill>
      </x:fill>
    </x:dxf>
    <x:dxf>
      <x:font>
        <x:b/>
        <x:color rgb="FF9F2D20"/>
      </x:font>
      <x:fill>
        <x:patternFill patternType="solid">
          <x:bgColor rgb="FFFDE8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F2D20"/>
      </x:font>
      <x:fill>
        <x:patternFill patternType="solid">
          <x:bgColor rgb="FFFDE8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245B8A"/>
      </x:font>
      <x:fill>
        <x:patternFill patternType="solid">
          <x:bgColor rgb="FFEAF1FA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F2D20"/>
      </x:font>
      <x:fill>
        <x:patternFill patternType="solid">
          <x:bgColor rgb="FFFDE8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F2D20"/>
      </x:font>
      <x:fill>
        <x:patternFill patternType="solid">
          <x:bgColor rgb="FFFDE8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F2D20"/>
      </x:font>
      <x:fill>
        <x:patternFill patternType="solid">
          <x:bgColor rgb="FFFDE8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F2D20"/>
      </x:font>
      <x:fill>
        <x:patternFill patternType="solid">
          <x:bgColor rgb="FFFDE8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245B8A"/>
      </x:font>
      <x:fill>
        <x:patternFill patternType="solid">
          <x:bgColor rgb="FFEAF1FA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F2D20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5c7f56ba14498" /><Relationship Type="http://schemas.openxmlformats.org/officeDocument/2006/relationships/theme" Target="/xl/theme/theme1.xml" Id="Ra9abf924f4c94116" /><Relationship Type="http://schemas.openxmlformats.org/officeDocument/2006/relationships/sharedStrings" Target="/xl/sharedStrings.xml" Id="Rff1bc8c47c864b43" /><Relationship Type="http://schemas.openxmlformats.org/officeDocument/2006/relationships/worksheet" Target="/xl/worksheets/sheet1.xml" Id="R13240837706046ce" /><Relationship Type="http://schemas.openxmlformats.org/officeDocument/2006/relationships/worksheet" Target="/xl/worksheets/sheet2.xml" Id="Ra16ed70d9d004432" /><Relationship Type="http://schemas.openxmlformats.org/officeDocument/2006/relationships/worksheet" Target="/xl/worksheets/sheet3.xml" Id="R4c419ce43c644914" /><Relationship Type="http://schemas.openxmlformats.org/officeDocument/2006/relationships/worksheet" Target="/xl/worksheets/sheet4.xml" Id="Rb2916d439011435b" /></Relationships>
</file>

<file path=xl/tables/table1.xml><?xml version="1.0" encoding="utf-8"?>
<x:table xmlns:x="http://schemas.openxmlformats.org/spreadsheetml/2006/main" id="1" name="PersonalFitLabels" displayName="PersonalFitLabels" ref="A4:AJ97" headerRowCount="1" totalsRowCount="0" totalsRowShown="0">
  <x:tableColumns count="36">
    <x:tableColumn id="1" name="Label ID"/>
    <x:tableColumn id="2" name="User ID"/>
    <x:tableColumn id="3" name="사용자명"/>
    <x:tableColumn id="4" name="시나리오"/>
    <x:tableColumn id="5" name="상태"/>
    <x:tableColumn id="6" name="사용자 수준"/>
    <x:tableColumn id="7" name="학습 목표"/>
    <x:tableColumn id="8" name="목표 태그"/>
    <x:tableColumn id="9" name="행동 프로필"/>
    <x:tableColumn id="10" name="선호 유형"/>
    <x:tableColumn id="11" name="유형별 완료율"/>
    <x:tableColumn id="12" name="평균 학습 시간"/>
    <x:tableColumn id="13" name="Content ID"/>
    <x:tableColumn id="14" name="콘텐츠명"/>
    <x:tableColumn id="15" name="콘텐츠 유형"/>
    <x:tableColumn id="16" name="난이도"/>
    <x:tableColumn id="17" name="예상 시간"/>
    <x:tableColumn id="18" name="콘텐츠 학습 목표"/>
    <x:tableColumn id="19" name="콘텐츠 태그"/>
    <x:tableColumn id="20" name="목표 적합 판단"/>
    <x:tableColumn id="21" name="목표 점수"/>
    <x:tableColumn id="22" name="유형 적합 판단"/>
    <x:tableColumn id="23" name="유형 점수"/>
    <x:tableColumn id="24" name="시간 적합 판단"/>
    <x:tableColumn id="25" name="시간 점수"/>
    <x:tableColumn id="26" name="수준 적합 판단"/>
    <x:tableColumn id="27" name="수준 점수"/>
    <x:tableColumn id="28" name="적용 최대점"/>
    <x:tableColumn id="29" name="개인 적합도"/>
    <x:tableColumn id="30" name="루브릭 등급"/>
    <x:tableColumn id="31" name="최종 라벨"/>
    <x:tableColumn id="32" name="라벨 조정"/>
    <x:tableColumn id="33" name="판단 근거"/>
    <x:tableColumn id="34" name="검토 우선순위"/>
    <x:tableColumn id="35" name="검토 상태"/>
    <x:tableColumn id="36" name="검토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RelevanceLabels" displayName="FinalRelevanceLabels" ref="A4:AB97" headerRowCount="1" totalsRowCount="0" totalsRowShown="0">
  <x:tableColumns count="28">
    <x:tableColumn id="1" name="Label ID"/>
    <x:tableColumn id="2" name="User ID"/>
    <x:tableColumn id="3" name="사용자명"/>
    <x:tableColumn id="4" name="시나리오"/>
    <x:tableColumn id="5" name="사용자 수준"/>
    <x:tableColumn id="6" name="학습 목표"/>
    <x:tableColumn id="7" name="Content ID"/>
    <x:tableColumn id="8" name="콘텐츠명"/>
    <x:tableColumn id="9" name="유형"/>
    <x:tableColumn id="10" name="난이도"/>
    <x:tableColumn id="11" name="시간"/>
    <x:tableColumn id="12" name="대표 개념"/>
    <x:tableColumn id="13" name="취약도"/>
    <x:tableColumn id="14" name="취약 순위"/>
    <x:tableColumn id="15" name="신뢰도"/>
    <x:tableColumn id="16" name="데이터 단계"/>
    <x:tableColumn id="17" name="최근 오답률"/>
    <x:tableColumn id="18" name="누적 오답률"/>
    <x:tableColumn id="19" name="유효 학습 수"/>
    <x:tableColumn id="20" name="개인 적합 라벨"/>
    <x:tableColumn id="21" name="학습 필요도"/>
    <x:tableColumn id="22" name="매트릭스 관련도"/>
    <x:tableColumn id="23" name="최종 ndcgRelevance"/>
    <x:tableColumn id="24" name="라벨 조정"/>
    <x:tableColumn id="25" name="판단 근거"/>
    <x:tableColumn id="26" name="검토 우선순위"/>
    <x:tableColumn id="27" name="검토 상태"/>
    <x:tableColumn id="28" name="검토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649fad51294a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6f9e403f2b4a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12" hidden="0" customWidth="1"/>
    <x:col min="5" max="5" width="26" hidden="0" customWidth="1"/>
    <x:col min="6" max="6" width="8" hidden="0" customWidth="1"/>
    <x:col min="7" max="7" width="16" hidden="0" customWidth="1"/>
    <x:col min="8" max="8" width="18" hidden="0" customWidth="1"/>
  </x:cols>
  <x:sheetData>
    <x:row r="1" ht="32" customHeight="1">
      <x:c r="A1" s="3" t="str">
        <x:v>AI 학습 코치 라벨링 결과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93개 사용자-후보 조합을 원천 데이터와 rubric-v2로 독립 판단한 검토용 워크북입니다. 기존 랜덤 라벨과 추천 순위는 판단에 사용하지 않았습니다.</x:v>
      </x:c>
      <x:c r="B2" s="7"/>
      <x:c r="C2" s="7"/>
      <x:c r="D2" s="7"/>
      <x:c r="E2" s="7"/>
      <x:c r="F2" s="7"/>
      <x:c r="G2" s="7"/>
      <x:c r="H2" s="7"/>
    </x:row>
    <x:row r="3">
      <x:c r="A3" s="65"/>
      <x:c r="B3" s="65"/>
      <x:c r="C3" s="65"/>
      <x:c r="D3" s="65"/>
      <x:c r="E3" s="65"/>
      <x:c r="F3" s="65"/>
      <x:c r="G3" s="65"/>
      <x:c r="H3" s="65"/>
    </x:row>
    <x:row r="4">
      <x:c r="A4" s="66" t="str">
        <x:v>총 라벨</x:v>
      </x:c>
      <x:c r="B4" s="67"/>
      <x:c r="C4" s="67" t="str">
        <x:v>사용자</x:v>
      </x:c>
      <x:c r="D4" s="67"/>
      <x:c r="E4" s="67" t="str">
        <x:v>라벨 버전</x:v>
      </x:c>
      <x:c r="F4" s="67"/>
      <x:c r="G4" s="67" t="str">
        <x:v>작성일</x:v>
      </x:c>
      <x:c r="H4" s="68"/>
    </x:row>
    <x:row r="5">
      <x:c r="A5" s="69" t="n">
        <x:f>COUNTA('개인적합도'!$A$5:$A$97)</x:f>
        <x:v>93</x:v>
      </x:c>
      <x:c r="B5" s="70" t="str">
        <x:f>""</x:f>
      </x:c>
      <x:c r="C5" s="70" t="n">
        <x:f>COUNTA(A14:A23)</x:f>
        <x:v>10</x:v>
      </x:c>
      <x:c r="D5" s="70" t="str">
        <x:f>""</x:f>
      </x:c>
      <x:c r="E5" s="70" t="str">
        <x:f>"codex-rubric-judged.v2"</x:f>
        <x:v>codex-rubric-judged.v2</x:v>
      </x:c>
      <x:c r="F5" s="70" t="str">
        <x:f>""</x:f>
      </x:c>
      <x:c r="G5" s="71" t="n">
        <x:f>DATE(2026,7,14)</x:f>
        <x:v>46217</x:v>
      </x:c>
      <x:c r="H5" s="72" t="str">
        <x:f>""</x:f>
      </x:c>
    </x:row>
    <x:row r="6">
      <x:c r="A6" s="65"/>
      <x:c r="B6" s="65"/>
      <x:c r="C6" s="65"/>
      <x:c r="D6" s="65"/>
      <x:c r="E6" s="65"/>
      <x:c r="F6" s="65"/>
      <x:c r="G6" s="65"/>
      <x:c r="H6" s="65"/>
    </x:row>
    <x:row r="7" ht="34" customHeight="1">
      <x:c r="A7" s="31" t="str">
        <x:v>개인 적합도 분포</x:v>
      </x:c>
      <x:c r="B7" s="32" t="str">
        <x:v>라벨</x:v>
      </x:c>
      <x:c r="C7" s="33" t="str">
        <x:v>건수</x:v>
      </x:c>
      <x:c r="D7" s="65"/>
      <x:c r="E7" s="31" t="str">
        <x:v>최종 관련도 분포</x:v>
      </x:c>
      <x:c r="F7" s="32" t="str">
        <x:v>관련도</x:v>
      </x:c>
      <x:c r="G7" s="33" t="str">
        <x:v>건수</x:v>
      </x:c>
      <x:c r="H7" s="65"/>
    </x:row>
    <x:row r="8">
      <x:c r="A8" s="43" t="str">
        <x:v>높음</x:v>
      </x:c>
      <x:c r="B8" s="44" t="str">
        <x:v>high</x:v>
      </x:c>
      <x:c r="C8" s="45" t="n">
        <x:f>COUNTIF('개인적합도'!$AE$5:$AE$97,B8)</x:f>
        <x:v>57</x:v>
      </x:c>
      <x:c r="D8" s="65"/>
      <x:c r="E8" s="43" t="str">
        <x:v>우선 추천</x:v>
      </x:c>
      <x:c r="F8" s="44" t="n">
        <x:v>3</x:v>
      </x:c>
      <x:c r="G8" s="45" t="n">
        <x:f>COUNTIF('최종관련도'!$W$5:$W$97,F8)</x:f>
        <x:v>29</x:v>
      </x:c>
      <x:c r="H8" s="65"/>
    </x:row>
    <x:row r="9">
      <x:c r="A9" s="46" t="str">
        <x:v>보통</x:v>
      </x:c>
      <x:c r="B9" s="47" t="str">
        <x:v>medium</x:v>
      </x:c>
      <x:c r="C9" s="48" t="n">
        <x:f>COUNTIF('개인적합도'!$AE$5:$AE$97,B9)</x:f>
        <x:v>32</x:v>
      </x:c>
      <x:c r="D9" s="65"/>
      <x:c r="E9" s="46" t="str">
        <x:v>추천 가능</x:v>
      </x:c>
      <x:c r="F9" s="47" t="n">
        <x:v>2</x:v>
      </x:c>
      <x:c r="G9" s="48" t="n">
        <x:f>COUNTIF('최종관련도'!$W$5:$W$97,F9)</x:f>
        <x:v>47</x:v>
      </x:c>
      <x:c r="H9" s="65"/>
    </x:row>
    <x:row r="10">
      <x:c r="A10" s="49" t="str">
        <x:v>낮음</x:v>
      </x:c>
      <x:c r="B10" s="50" t="str">
        <x:v>low</x:v>
      </x:c>
      <x:c r="C10" s="51" t="n">
        <x:f>COUNTIF('개인적합도'!$AE$5:$AE$97,B10)</x:f>
        <x:v>4</x:v>
      </x:c>
      <x:c r="D10" s="65"/>
      <x:c r="E10" s="46" t="str">
        <x:v>후순위</x:v>
      </x:c>
      <x:c r="F10" s="47" t="n">
        <x:v>1</x:v>
      </x:c>
      <x:c r="G10" s="48" t="n">
        <x:f>COUNTIF('최종관련도'!$W$5:$W$97,F10)</x:f>
        <x:v>12</x:v>
      </x:c>
      <x:c r="H10" s="65"/>
    </x:row>
    <x:row r="11">
      <x:c r="A11" s="65"/>
      <x:c r="B11" s="65"/>
      <x:c r="C11" s="65"/>
      <x:c r="D11" s="65"/>
      <x:c r="E11" s="49" t="str">
        <x:v>추천 근거 없음</x:v>
      </x:c>
      <x:c r="F11" s="50" t="n">
        <x:v>0</x:v>
      </x:c>
      <x:c r="G11" s="51" t="n">
        <x:f>COUNTIF('최종관련도'!$W$5:$W$97,F11)</x:f>
        <x:v>5</x:v>
      </x:c>
      <x:c r="H11" s="65"/>
    </x:row>
    <x:row r="12">
      <x:c r="A12" s="65"/>
      <x:c r="B12" s="65"/>
      <x:c r="C12" s="65"/>
      <x:c r="D12" s="65"/>
      <x:c r="E12" s="65"/>
      <x:c r="F12" s="65"/>
      <x:c r="G12" s="65"/>
      <x:c r="H12" s="65"/>
    </x:row>
    <x:row r="13" ht="34" customHeight="1">
      <x:c r="A13" s="31" t="str">
        <x:v>사용자별 요약</x:v>
      </x:c>
      <x:c r="B13" s="32" t="str">
        <x:v>사용자명</x:v>
      </x:c>
      <x:c r="C13" s="32" t="str">
        <x:v>시나리오</x:v>
      </x:c>
      <x:c r="D13" s="32" t="str">
        <x:v>후보 수</x:v>
      </x:c>
      <x:c r="E13" s="32" t="str">
        <x:v>평균 개인점수</x:v>
      </x:c>
      <x:c r="F13" s="32" t="str">
        <x:v>평균 관련도</x:v>
      </x:c>
      <x:c r="G13" s="32" t="str">
        <x:v>우선 검토</x:v>
      </x:c>
      <x:c r="H13" s="33" t="str">
        <x:v>라벨 상태</x:v>
      </x:c>
    </x:row>
    <x:row r="14" ht="28" customHeight="1">
      <x:c r="A14" s="43" t="str">
        <x:v>user-01</x:v>
      </x:c>
      <x:c r="B14" s="44" t="str">
        <x:v>진단 시작형</x:v>
      </x:c>
      <x:c r="C14" s="52" t="str">
        <x:v>신규 · 진단 데이터만 존재</x:v>
      </x:c>
      <x:c r="D14" s="44" t="n">
        <x:f>COUNTIF('개인적합도'!$B$5:$B$97,A14)</x:f>
        <x:v>10</x:v>
      </x:c>
      <x:c r="E14" s="55" t="n">
        <x:f>ROUND(AVERAGEIF('개인적합도'!$B$5:$B$97,A14,'개인적합도'!$AC$5:$AC$97),1)</x:f>
        <x:v>86.2</x:v>
      </x:c>
      <x:c r="F14" s="58" t="n">
        <x:f>ROUND(AVERAGEIF('최종관련도'!$B$5:$B$97,A14,'최종관련도'!$W$5:$W$97),2)</x:f>
        <x:v>1.9</x:v>
      </x:c>
      <x:c r="G14" s="44" t="n">
        <x:f>COUNTIFS('개인적합도'!$B$5:$B$97,A14,'개인적합도'!$AH$5:$AH$97,"우선 검토")</x:f>
        <x:v>10</x:v>
      </x:c>
      <x:c r="H14" s="45" t="str">
        <x:v>Codex 초안</x:v>
      </x:c>
    </x:row>
    <x:row r="15" ht="28" customHeight="1">
      <x:c r="A15" s="46" t="str">
        <x:v>user-02</x:v>
      </x:c>
      <x:c r="B15" s="47" t="str">
        <x:v>혼합 전환형</x:v>
      </x:c>
      <x:c r="C15" s="53" t="str">
        <x:v>신규 · 행동 5~9회 혼합 구간</x:v>
      </x:c>
      <x:c r="D15" s="47" t="n">
        <x:f>COUNTIF('개인적합도'!$B$5:$B$97,A15)</x:f>
        <x:v>10</x:v>
      </x:c>
      <x:c r="E15" s="56" t="n">
        <x:f>ROUND(AVERAGEIF('개인적합도'!$B$5:$B$97,A15,'개인적합도'!$AC$5:$AC$97),1)</x:f>
        <x:v>91.7</x:v>
      </x:c>
      <x:c r="F15" s="59" t="n">
        <x:f>ROUND(AVERAGEIF('최종관련도'!$B$5:$B$97,A15,'최종관련도'!$W$5:$W$97),2)</x:f>
        <x:v>2.2</x:v>
      </x:c>
      <x:c r="G15" s="47" t="n">
        <x:f>COUNTIFS('개인적합도'!$B$5:$B$97,A15,'개인적합도'!$AH$5:$AH$97,"우선 검토")</x:f>
        <x:v>6</x:v>
      </x:c>
      <x:c r="H15" s="48" t="str">
        <x:v>Codex 초안</x:v>
      </x:c>
    </x:row>
    <x:row r="16" ht="28" customHeight="1">
      <x:c r="A16" s="46" t="str">
        <x:v>user-03</x:v>
      </x:c>
      <x:c r="B16" s="47" t="str">
        <x:v>행동 중심형</x:v>
      </x:c>
      <x:c r="C16" s="53" t="str">
        <x:v>신규 · 10회 이상 행동 중심</x:v>
      </x:c>
      <x:c r="D16" s="47" t="n">
        <x:f>COUNTIF('개인적합도'!$B$5:$B$97,A16)</x:f>
        <x:v>10</x:v>
      </x:c>
      <x:c r="E16" s="56" t="n">
        <x:f>ROUND(AVERAGEIF('개인적합도'!$B$5:$B$97,A16,'개인적합도'!$AC$5:$AC$97),1)</x:f>
        <x:v>88.1</x:v>
      </x:c>
      <x:c r="F16" s="59" t="n">
        <x:f>ROUND(AVERAGEIF('최종관련도'!$B$5:$B$97,A16,'최종관련도'!$W$5:$W$97),2)</x:f>
        <x:v>2</x:v>
      </x:c>
      <x:c r="G16" s="47" t="n">
        <x:f>COUNTIFS('개인적합도'!$B$5:$B$97,A16,'개인적합도'!$AH$5:$AH$97,"우선 검토")</x:f>
        <x:v>7</x:v>
      </x:c>
      <x:c r="H16" s="48" t="str">
        <x:v>Codex 초안</x:v>
      </x:c>
    </x:row>
    <x:row r="17" ht="28" customHeight="1">
      <x:c r="A17" s="46" t="str">
        <x:v>user-04</x:v>
      </x:c>
      <x:c r="B17" s="47" t="str">
        <x:v>짧은 퀴즈형</x:v>
      </x:c>
      <x:c r="C17" s="53" t="str">
        <x:v>기존 · 짧은 퀴즈 선호</x:v>
      </x:c>
      <x:c r="D17" s="47" t="n">
        <x:f>COUNTIF('개인적합도'!$B$5:$B$97,A17)</x:f>
        <x:v>10</x:v>
      </x:c>
      <x:c r="E17" s="56" t="n">
        <x:f>ROUND(AVERAGEIF('개인적합도'!$B$5:$B$97,A17,'개인적합도'!$AC$5:$AC$97),1)</x:f>
        <x:v>85.3</x:v>
      </x:c>
      <x:c r="F17" s="59" t="n">
        <x:f>ROUND(AVERAGEIF('최종관련도'!$B$5:$B$97,A17,'최종관련도'!$W$5:$W$97),2)</x:f>
        <x:v>2.6</x:v>
      </x:c>
      <x:c r="G17" s="47" t="n">
        <x:f>COUNTIFS('개인적합도'!$B$5:$B$97,A17,'개인적합도'!$AH$5:$AH$97,"우선 검토")</x:f>
        <x:v>0</x:v>
      </x:c>
      <x:c r="H17" s="48" t="str">
        <x:v>Codex 초안</x:v>
      </x:c>
    </x:row>
    <x:row r="18" ht="28" customHeight="1">
      <x:c r="A18" s="46" t="str">
        <x:v>user-05</x:v>
      </x:c>
      <x:c r="B18" s="47" t="str">
        <x:v>긴 강의형</x:v>
      </x:c>
      <x:c r="C18" s="53" t="str">
        <x:v>기존 · 긴 개념 강의 선호</x:v>
      </x:c>
      <x:c r="D18" s="47" t="n">
        <x:f>COUNTIF('개인적합도'!$B$5:$B$97,A18)</x:f>
        <x:v>10</x:v>
      </x:c>
      <x:c r="E18" s="56" t="n">
        <x:f>ROUND(AVERAGEIF('개인적합도'!$B$5:$B$97,A18,'개인적합도'!$AC$5:$AC$97),1)</x:f>
        <x:v>90.5</x:v>
      </x:c>
      <x:c r="F18" s="59" t="n">
        <x:f>ROUND(AVERAGEIF('최종관련도'!$B$5:$B$97,A18,'최종관련도'!$W$5:$W$97),2)</x:f>
        <x:v>2.2</x:v>
      </x:c>
      <x:c r="G18" s="47" t="n">
        <x:f>COUNTIFS('개인적합도'!$B$5:$B$97,A18,'개인적합도'!$AH$5:$AH$97,"우선 검토")</x:f>
        <x:v>7</x:v>
      </x:c>
      <x:c r="H18" s="48" t="str">
        <x:v>Codex 초안</x:v>
      </x:c>
    </x:row>
    <x:row r="19" ht="28" customHeight="1">
      <x:c r="A19" s="46" t="str">
        <x:v>user-06</x:v>
      </x:c>
      <x:c r="B19" s="47" t="str">
        <x:v>프로필 없음형</x:v>
      </x:c>
      <x:c r="C19" s="53" t="str">
        <x:v>기존 · 행동 프로필 없음</x:v>
      </x:c>
      <x:c r="D19" s="47" t="n">
        <x:f>COUNTIF('개인적합도'!$B$5:$B$97,A19)</x:f>
        <x:v>10</x:v>
      </x:c>
      <x:c r="E19" s="56" t="n">
        <x:f>ROUND(AVERAGEIF('개인적합도'!$B$5:$B$97,A19,'개인적합도'!$AC$5:$AC$97),1)</x:f>
        <x:v>90.2</x:v>
      </x:c>
      <x:c r="F19" s="59" t="n">
        <x:f>ROUND(AVERAGEIF('최종관련도'!$B$5:$B$97,A19,'최종관련도'!$W$5:$W$97),2)</x:f>
        <x:v>2.1</x:v>
      </x:c>
      <x:c r="G19" s="47" t="n">
        <x:f>COUNTIFS('개인적합도'!$B$5:$B$97,A19,'개인적합도'!$AH$5:$AH$97,"우선 검토")</x:f>
        <x:v>10</x:v>
      </x:c>
      <x:c r="H19" s="48" t="str">
        <x:v>Codex 초안</x:v>
      </x:c>
    </x:row>
    <x:row r="20" ht="28" customHeight="1">
      <x:c r="A20" s="46" t="str">
        <x:v>user-07</x:v>
      </x:c>
      <x:c r="B20" s="47" t="str">
        <x:v>최근 하락형</x:v>
      </x:c>
      <x:c r="C20" s="53" t="str">
        <x:v>기존 · 최근 5회 성적 급락</x:v>
      </x:c>
      <x:c r="D20" s="47" t="n">
        <x:f>COUNTIF('개인적합도'!$B$5:$B$97,A20)</x:f>
        <x:v>10</x:v>
      </x:c>
      <x:c r="E20" s="56" t="n">
        <x:f>ROUND(AVERAGEIF('개인적합도'!$B$5:$B$97,A20,'개인적합도'!$AC$5:$AC$97),1)</x:f>
        <x:v>93.8</x:v>
      </x:c>
      <x:c r="F20" s="59" t="n">
        <x:f>ROUND(AVERAGEIF('최종관련도'!$B$5:$B$97,A20,'최종관련도'!$W$5:$W$97),2)</x:f>
        <x:v>2.4</x:v>
      </x:c>
      <x:c r="G20" s="47" t="n">
        <x:f>COUNTIFS('개인적합도'!$B$5:$B$97,A20,'개인적합도'!$AH$5:$AH$97,"우선 검토")</x:f>
        <x:v>6</x:v>
      </x:c>
      <x:c r="H20" s="48" t="str">
        <x:v>Codex 초안</x:v>
      </x:c>
    </x:row>
    <x:row r="21" ht="28" customHeight="1">
      <x:c r="A21" s="46" t="str">
        <x:v>user-08</x:v>
      </x:c>
      <x:c r="B21" s="47" t="str">
        <x:v>희소 이력형</x:v>
      </x:c>
      <x:c r="C21" s="53" t="str">
        <x:v>기존 · 낮은 신뢰도의 희소 이력</x:v>
      </x:c>
      <x:c r="D21" s="47" t="n">
        <x:f>COUNTIF('개인적합도'!$B$5:$B$97,A21)</x:f>
        <x:v>10</x:v>
      </x:c>
      <x:c r="E21" s="56" t="n">
        <x:f>ROUND(AVERAGEIF('개인적합도'!$B$5:$B$97,A21,'개인적합도'!$AC$5:$AC$97),1)</x:f>
        <x:v>83.8</x:v>
      </x:c>
      <x:c r="F21" s="59" t="n">
        <x:f>ROUND(AVERAGEIF('최종관련도'!$B$5:$B$97,A21,'최종관련도'!$W$5:$W$97),2)</x:f>
        <x:v>1.6</x:v>
      </x:c>
      <x:c r="G21" s="47" t="n">
        <x:f>COUNTIFS('개인적합도'!$B$5:$B$97,A21,'개인적합도'!$AH$5:$AH$97,"우선 검토")</x:f>
        <x:v>10</x:v>
      </x:c>
      <x:c r="H21" s="48" t="str">
        <x:v>Codex 초안</x:v>
      </x:c>
    </x:row>
    <x:row r="22" ht="28" customHeight="1">
      <x:c r="A22" s="46" t="str">
        <x:v>user-09</x:v>
      </x:c>
      <x:c r="B22" s="47" t="str">
        <x:v>후보 부족형</x:v>
      </x:c>
      <x:c r="C22" s="53" t="str">
        <x:v>기존 · 최근 완료로 후보 다수 제외</x:v>
      </x:c>
      <x:c r="D22" s="47" t="n">
        <x:f>COUNTIF('개인적합도'!$B$5:$B$97,A22)</x:f>
        <x:v>3</x:v>
      </x:c>
      <x:c r="E22" s="56" t="n">
        <x:f>ROUND(AVERAGEIF('개인적합도'!$B$5:$B$97,A22,'개인적합도'!$AC$5:$AC$97),1)</x:f>
        <x:v>64.7</x:v>
      </x:c>
      <x:c r="F22" s="59" t="n">
        <x:f>ROUND(AVERAGEIF('최종관련도'!$B$5:$B$97,A22,'최종관련도'!$W$5:$W$97),2)</x:f>
        <x:v>0.67</x:v>
      </x:c>
      <x:c r="G22" s="47" t="n">
        <x:f>COUNTIFS('개인적합도'!$B$5:$B$97,A22,'개인적합도'!$AH$5:$AH$97,"우선 검토")</x:f>
        <x:v>3</x:v>
      </x:c>
      <x:c r="H22" s="48" t="str">
        <x:v>Codex 초안</x:v>
      </x:c>
    </x:row>
    <x:row r="23" ht="28" customHeight="1">
      <x:c r="A23" s="49" t="str">
        <x:v>user-10</x:v>
      </x:c>
      <x:c r="B23" s="50" t="str">
        <x:v>다양성 검증형</x:v>
      </x:c>
      <x:c r="C23" s="54" t="str">
        <x:v>기존 · 동점과 동일 유형 집중</x:v>
      </x:c>
      <x:c r="D23" s="50" t="n">
        <x:f>COUNTIF('개인적합도'!$B$5:$B$97,A23)</x:f>
        <x:v>10</x:v>
      </x:c>
      <x:c r="E23" s="57" t="n">
        <x:f>ROUND(AVERAGEIF('개인적합도'!$B$5:$B$97,A23,'개인적합도'!$AC$5:$AC$97),1)</x:f>
        <x:v>85</x:v>
      </x:c>
      <x:c r="F23" s="60" t="n">
        <x:f>ROUND(AVERAGEIF('최종관련도'!$B$5:$B$97,A23,'최종관련도'!$W$5:$W$97),2)</x:f>
        <x:v>2.1</x:v>
      </x:c>
      <x:c r="G23" s="50" t="n">
        <x:f>COUNTIFS('개인적합도'!$B$5:$B$97,A23,'개인적합도'!$AH$5:$AH$97,"우선 검토")</x:f>
        <x:v>8</x:v>
      </x:c>
      <x:c r="H23" s="51" t="str">
        <x:v>Codex 초안</x:v>
      </x:c>
    </x:row>
    <x:row r="24">
      <x:c r="A24" s="65"/>
      <x:c r="B24" s="65"/>
      <x:c r="C24" s="65"/>
      <x:c r="D24" s="65"/>
      <x:c r="E24" s="65"/>
      <x:c r="F24" s="65"/>
      <x:c r="G24" s="65"/>
      <x:c r="H24" s="65"/>
    </x:row>
    <x:row r="25">
      <x:c r="A25" s="65"/>
      <x:c r="B25" s="65"/>
      <x:c r="C25" s="65"/>
      <x:c r="D25" s="65"/>
      <x:c r="E25" s="65"/>
      <x:c r="F25" s="65"/>
      <x:c r="G25" s="65"/>
      <x:c r="H25" s="65"/>
    </x:row>
    <x:row r="26" ht="34" customHeight="1">
      <x:c r="A26" s="31" t="str">
        <x:v>QA 검사</x:v>
      </x:c>
      <x:c r="B26" s="32" t="str">
        <x:v>기대값</x:v>
      </x:c>
      <x:c r="C26" s="32" t="str">
        <x:v>실제값</x:v>
      </x:c>
      <x:c r="D26" s="33" t="str">
        <x:v>결과</x:v>
      </x:c>
      <x:c r="E26" s="65"/>
      <x:c r="F26" s="65"/>
      <x:c r="G26" s="65"/>
      <x:c r="H26" s="65"/>
    </x:row>
    <x:row r="27">
      <x:c r="A27" s="43" t="str">
        <x:v>전체 라벨 수</x:v>
      </x:c>
      <x:c r="B27" s="44" t="n">
        <x:v>93</x:v>
      </x:c>
      <x:c r="C27" s="44" t="n">
        <x:f>COUNTA('개인적합도'!$A$5:$A$97)</x:f>
        <x:v>93</x:v>
      </x:c>
      <x:c r="D27" s="45" t="str">
        <x:f>IF(B27=C27,"PASS","CHECK")</x:f>
        <x:v>PASS</x:v>
      </x:c>
      <x:c r="E27" s="65"/>
      <x:c r="F27" s="65"/>
      <x:c r="G27" s="65"/>
      <x:c r="H27" s="65"/>
    </x:row>
    <x:row r="28">
      <x:c r="A28" s="46" t="str">
        <x:v>고유 Label ID</x:v>
      </x:c>
      <x:c r="B28" s="47" t="n">
        <x:v>93</x:v>
      </x:c>
      <x:c r="C28" s="47" t="n">
        <x:f>COUNTA('개인적합도'!$A$5:$A$97)</x:f>
        <x:v>93</x:v>
      </x:c>
      <x:c r="D28" s="48" t="str">
        <x:f>IF(B28=C28,"PASS","CHECK")</x:f>
        <x:v>PASS</x:v>
      </x:c>
      <x:c r="E28" s="65"/>
      <x:c r="F28" s="65"/>
      <x:c r="G28" s="65"/>
      <x:c r="H28" s="65"/>
    </x:row>
    <x:row r="29">
      <x:c r="A29" s="46" t="str">
        <x:v>개인 라벨 공란</x:v>
      </x:c>
      <x:c r="B29" s="47" t="n">
        <x:v>0</x:v>
      </x:c>
      <x:c r="C29" s="47" t="n">
        <x:f>COUNTBLANK('개인적합도'!$AE$5:$AE$97)</x:f>
        <x:v>0</x:v>
      </x:c>
      <x:c r="D29" s="48" t="str">
        <x:f>IF(B29=C29,"PASS","CHECK")</x:f>
        <x:v>PASS</x:v>
      </x:c>
      <x:c r="E29" s="65"/>
      <x:c r="F29" s="65"/>
      <x:c r="G29" s="65"/>
      <x:c r="H29" s="65"/>
    </x:row>
    <x:row r="30">
      <x:c r="A30" s="46" t="str">
        <x:v>관련도 라벨 공란</x:v>
      </x:c>
      <x:c r="B30" s="47" t="n">
        <x:v>0</x:v>
      </x:c>
      <x:c r="C30" s="47" t="n">
        <x:f>COUNTBLANK('최종관련도'!$W$5:$W$97)</x:f>
        <x:v>0</x:v>
      </x:c>
      <x:c r="D30" s="48" t="str">
        <x:f>IF(B30=C30,"PASS","CHECK")</x:f>
        <x:v>PASS</x:v>
      </x:c>
      <x:c r="E30" s="65"/>
      <x:c r="F30" s="65"/>
      <x:c r="G30" s="65"/>
      <x:c r="H30" s="65"/>
    </x:row>
    <x:row r="31">
      <x:c r="A31" s="46" t="str">
        <x:v>개인 정성 조정 건수</x:v>
      </x:c>
      <x:c r="B31" s="47" t="str">
        <x:v>정보</x:v>
      </x:c>
      <x:c r="C31" s="47" t="n">
        <x:f>C27-COUNTIF('개인적합도'!$AF$5:$AF$97,"루브릭 일치")</x:f>
        <x:v>21</x:v>
      </x:c>
      <x:c r="D31" s="48" t="str">
        <x:v>검토 대상</x:v>
      </x:c>
      <x:c r="E31" s="65"/>
      <x:c r="F31" s="65"/>
      <x:c r="G31" s="65"/>
      <x:c r="H31" s="65"/>
    </x:row>
    <x:row r="32">
      <x:c r="A32" s="49" t="str">
        <x:v>관련도 정성 조정 건수</x:v>
      </x:c>
      <x:c r="B32" s="50" t="str">
        <x:v>정보</x:v>
      </x:c>
      <x:c r="C32" s="50" t="n">
        <x:f>C27-COUNTIF('최종관련도'!$X$5:$X$97,"매트릭스 일치")</x:f>
        <x:v>31</x:v>
      </x:c>
      <x:c r="D32" s="51" t="str">
        <x:v>검토 대상</x:v>
      </x:c>
      <x:c r="E32" s="65"/>
      <x:c r="F32" s="65"/>
      <x:c r="G32" s="65"/>
      <x:c r="H32" s="65"/>
    </x:row>
    <x:row r="33">
      <x:c r="A33" s="65"/>
      <x:c r="B33" s="65"/>
      <x:c r="C33" s="65"/>
      <x:c r="D33" s="65"/>
      <x:c r="E33" s="65"/>
      <x:c r="F33" s="65"/>
      <x:c r="G33" s="65"/>
      <x:c r="H33" s="65"/>
    </x:row>
    <x:row r="34">
      <x:c r="A34" s="65"/>
      <x:c r="B34" s="65"/>
      <x:c r="C34" s="65"/>
      <x:c r="D34" s="65"/>
      <x:c r="E34" s="65"/>
      <x:c r="F34" s="65"/>
      <x:c r="G34" s="65"/>
      <x:c r="H34" s="65"/>
    </x:row>
    <x:row r="35">
      <x:c r="A35" s="73" t="str">
        <x:v>해석 범위</x:v>
      </x:c>
      <x:c r="B35" s="73"/>
      <x:c r="C35" s="73"/>
      <x:c r="D35" s="73"/>
      <x:c r="E35" s="73"/>
      <x:c r="F35" s="73"/>
      <x:c r="G35" s="73"/>
      <x:c r="H35" s="73"/>
    </x:row>
    <x:row r="36">
      <x:c r="A36" s="74" t="str">
        <x:v>• 이 라벨은 합성 사용자 10명과 필터 이후 후보 93개에 대한 오프라인 판단입니다.</x:v>
      </x:c>
      <x:c r="B36" s="74"/>
      <x:c r="C36" s="74"/>
      <x:c r="D36" s="74"/>
      <x:c r="E36" s="74"/>
      <x:c r="F36" s="74"/>
      <x:c r="G36" s="74"/>
      <x:c r="H36" s="74"/>
    </x:row>
    <x:row r="37">
      <x:c r="A37" s="74" t="str">
        <x:v>• 개인 적합도는 취약 정보를 제외하고, 최종 관련도는 개인 적합도와 학습 필요를 함께 판단했습니다.</x:v>
      </x:c>
      <x:c r="B37" s="74"/>
      <x:c r="C37" s="74"/>
      <x:c r="D37" s="74"/>
      <x:c r="E37" s="74"/>
      <x:c r="F37" s="74"/>
      <x:c r="G37" s="74"/>
      <x:c r="H37" s="74"/>
    </x:row>
    <x:row r="38">
      <x:c r="A38" s="74" t="str">
        <x:v>• 정성 조정은 coarse 등급·매트릭스가 놓치는 콘텐츠 수준 차이와 근거 부재를 명시적으로 반영한 항목입니다.</x:v>
      </x:c>
      <x:c r="B38" s="74"/>
      <x:c r="C38" s="74"/>
      <x:c r="D38" s="74"/>
      <x:c r="E38" s="74"/>
      <x:c r="F38" s="74"/>
      <x:c r="G38" s="74"/>
      <x:c r="H38" s="74"/>
    </x:row>
    <x:row r="39">
      <x:c r="A39" s="74" t="str">
        <x:v>• 실제 서비스 성능을 주장하려면 실제 사용자 행동과 별도의 온라인 검증이 필요합니다.</x:v>
      </x:c>
      <x:c r="B39" s="74"/>
      <x:c r="C39" s="74"/>
      <x:c r="D39" s="74"/>
      <x:c r="E39" s="74"/>
      <x:c r="F39" s="74"/>
      <x:c r="G39" s="74"/>
      <x:c r="H39" s="74"/>
    </x:row>
  </x:sheetData>
  <x:mergeCells>
    <x:mergeCell ref="A1:H1"/>
    <x:mergeCell ref="A2:H2"/>
    <x:mergeCell ref="A35:H35"/>
    <x:mergeCell ref="A36:H36"/>
    <x:mergeCell ref="A37:H37"/>
    <x:mergeCell ref="A38:H38"/>
    <x:mergeCell ref="A39:H39"/>
  </x:mergeCells>
  <x:conditionalFormatting sqref="B8:B10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</x:conditionalFormatting>
  <x:conditionalFormatting sqref="F8:F11">
    <x:cfRule type="cellIs" dxfId="3" priority="4" operator="equal">
      <x:formula>3</x:formula>
    </x:cfRule>
    <x:cfRule type="cellIs" dxfId="4" priority="5" operator="equal">
      <x:formula>2</x:formula>
    </x:cfRule>
    <x:cfRule type="cellIs" dxfId="5" priority="6" operator="equal">
      <x:formula>1</x:formula>
    </x:cfRule>
    <x:cfRule type="cellIs" dxfId="6" priority="7" operator="equal">
      <x:formula>0</x:formula>
    </x:cfRule>
  </x:conditionalFormatting>
  <x:conditionalFormatting sqref="D27:D30">
    <x:cfRule type="containsText" dxfId="7" priority="8" operator="containsText" text="PASS"/>
    <x:cfRule type="containsText" dxfId="8" priority="9" operator="containsText" text="CHEC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4" hidden="0" customWidth="1"/>
    <x:col min="4" max="4" width="24" hidden="0" customWidth="1"/>
    <x:col min="5" max="5" width="8" hidden="0" customWidth="1"/>
    <x:col min="6" max="6" width="10" hidden="0" customWidth="1"/>
    <x:col min="7" max="7" width="26" hidden="0" customWidth="1"/>
    <x:col min="8" max="8" width="20" hidden="0" customWidth="1"/>
    <x:col min="9" max="9" width="11" hidden="0" customWidth="1"/>
    <x:col min="10" max="10" width="22" hidden="0" customWidth="1"/>
    <x:col min="11" max="11" width="28" hidden="0" customWidth="1"/>
    <x:col min="12" max="12" width="12" hidden="0" customWidth="1"/>
    <x:col min="13" max="13" width="12" hidden="0" customWidth="1"/>
    <x:col min="14" max="14" width="26" hidden="0" customWidth="1"/>
    <x:col min="15" max="15" width="12" hidden="0" customWidth="1"/>
    <x:col min="16" max="16" width="8" hidden="0" customWidth="1"/>
    <x:col min="17" max="17" width="10" hidden="0" customWidth="1"/>
    <x:col min="18" max="18" width="28" hidden="0" customWidth="1"/>
    <x:col min="19" max="19" width="20" hidden="0" customWidth="1"/>
    <x:col min="20" max="20" width="18" hidden="0" customWidth="1"/>
    <x:col min="21" max="21" width="10" hidden="0" customWidth="1"/>
    <x:col min="22" max="22" width="18" hidden="0" customWidth="1"/>
    <x:col min="23" max="23" width="10" hidden="0" customWidth="1"/>
    <x:col min="24" max="24" width="18" hidden="0" customWidth="1"/>
    <x:col min="25" max="25" width="10" hidden="0" customWidth="1"/>
    <x:col min="26" max="26" width="18" hidden="0" customWidth="1"/>
    <x:col min="27" max="27" width="10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20" hidden="0" customWidth="1"/>
    <x:col min="33" max="33" width="64" hidden="0" customWidth="1"/>
    <x:col min="34" max="34" width="14" hidden="0" customWidth="1"/>
    <x:col min="35" max="35" width="14" hidden="0" customWidth="1"/>
    <x:col min="36" max="36" width="30" hidden="0" customWidth="1"/>
  </x:cols>
  <x:sheetData>
    <x:row r="1" ht="32" customHeight="1">
      <x:c r="A1" s="3" t="str">
        <x:v>개인 적합도 라벨 93건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30" customHeight="1">
      <x:c r="A2" s="7" t="str">
        <x:v>취약도·오답률·기존 순위를 보지 않고 목표, 유형, 시간, 수준만 판단합니다. 최종 라벨과 메모 열은 사용자가 직접 수정할 수 있습니다.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</x:row>
    <x:row r="4" ht="34" customHeight="1">
      <x:c r="A4" s="31" t="str">
        <x:v>Label ID</x:v>
      </x:c>
      <x:c r="B4" s="32" t="str">
        <x:v>User ID</x:v>
      </x:c>
      <x:c r="C4" s="32" t="str">
        <x:v>사용자명</x:v>
      </x:c>
      <x:c r="D4" s="32" t="str">
        <x:v>시나리오</x:v>
      </x:c>
      <x:c r="E4" s="32" t="str">
        <x:v>상태</x:v>
      </x:c>
      <x:c r="F4" s="32" t="str">
        <x:v>사용자 수준</x:v>
      </x:c>
      <x:c r="G4" s="32" t="str">
        <x:v>학습 목표</x:v>
      </x:c>
      <x:c r="H4" s="32" t="str">
        <x:v>목표 태그</x:v>
      </x:c>
      <x:c r="I4" s="32" t="str">
        <x:v>행동 프로필</x:v>
      </x:c>
      <x:c r="J4" s="32" t="str">
        <x:v>선호 유형</x:v>
      </x:c>
      <x:c r="K4" s="32" t="str">
        <x:v>유형별 완료율</x:v>
      </x:c>
      <x:c r="L4" s="32" t="str">
        <x:v>평균 학습 시간</x:v>
      </x:c>
      <x:c r="M4" s="32" t="str">
        <x:v>Content ID</x:v>
      </x:c>
      <x:c r="N4" s="32" t="str">
        <x:v>콘텐츠명</x:v>
      </x:c>
      <x:c r="O4" s="32" t="str">
        <x:v>콘텐츠 유형</x:v>
      </x:c>
      <x:c r="P4" s="32" t="str">
        <x:v>난이도</x:v>
      </x:c>
      <x:c r="Q4" s="32" t="str">
        <x:v>예상 시간</x:v>
      </x:c>
      <x:c r="R4" s="32" t="str">
        <x:v>콘텐츠 학습 목표</x:v>
      </x:c>
      <x:c r="S4" s="32" t="str">
        <x:v>콘텐츠 태그</x:v>
      </x:c>
      <x:c r="T4" s="32" t="str">
        <x:v>목표 적합 판단</x:v>
      </x:c>
      <x:c r="U4" s="32" t="str">
        <x:v>목표 점수</x:v>
      </x:c>
      <x:c r="V4" s="32" t="str">
        <x:v>유형 적합 판단</x:v>
      </x:c>
      <x:c r="W4" s="32" t="str">
        <x:v>유형 점수</x:v>
      </x:c>
      <x:c r="X4" s="32" t="str">
        <x:v>시간 적합 판단</x:v>
      </x:c>
      <x:c r="Y4" s="32" t="str">
        <x:v>시간 점수</x:v>
      </x:c>
      <x:c r="Z4" s="32" t="str">
        <x:v>수준 적합 판단</x:v>
      </x:c>
      <x:c r="AA4" s="32" t="str">
        <x:v>수준 점수</x:v>
      </x:c>
      <x:c r="AB4" s="32" t="str">
        <x:v>적용 최대점</x:v>
      </x:c>
      <x:c r="AC4" s="32" t="str">
        <x:v>개인 적합도</x:v>
      </x:c>
      <x:c r="AD4" s="32" t="str">
        <x:v>루브릭 등급</x:v>
      </x:c>
      <x:c r="AE4" s="32" t="str">
        <x:v>최종 라벨</x:v>
      </x:c>
      <x:c r="AF4" s="32" t="str">
        <x:v>라벨 조정</x:v>
      </x:c>
      <x:c r="AG4" s="32" t="str">
        <x:v>판단 근거</x:v>
      </x:c>
      <x:c r="AH4" s="32" t="str">
        <x:v>검토 우선순위</x:v>
      </x:c>
      <x:c r="AI4" s="32" t="str">
        <x:v>검토 상태</x:v>
      </x:c>
      <x:c r="AJ4" s="33" t="str">
        <x:v>검토 메모</x:v>
      </x:c>
    </x:row>
    <x:row r="5" ht="52" customHeight="1">
      <x:c r="A5" s="79" t="str">
        <x:v>user-01__content-01</x:v>
      </x:c>
      <x:c r="B5" s="79" t="str">
        <x:v>user-01</x:v>
      </x:c>
      <x:c r="C5" s="79" t="str">
        <x:v>진단 시작형</x:v>
      </x:c>
      <x:c r="D5" s="79" t="str">
        <x:v>신규 · 진단 데이터만 존재</x:v>
      </x:c>
      <x:c r="E5" s="79" t="str">
        <x:v>신규</x:v>
      </x:c>
      <x:c r="F5" s="79" t="n">
        <x:v>1</x:v>
      </x:c>
      <x:c r="G5" s="91" t="str">
        <x:v>기초 시제와 조동사 정확도 향상</x:v>
      </x:c>
      <x:c r="H5" s="91" t="str">
        <x:v>시제 · 조동사 · 문법</x:v>
      </x:c>
      <x:c r="I5" s="91" t="str">
        <x:v>없음</x:v>
      </x:c>
      <x:c r="J5" s="91" t="str">
        <x:v>정보 없음</x:v>
      </x:c>
      <x:c r="K5" s="91" t="str">
        <x:v>정보 없음</x:v>
      </x:c>
      <x:c r="L5" s="79"/>
      <x:c r="M5" s="79" t="str">
        <x:v>content-01</x:v>
      </x:c>
      <x:c r="N5" s="94" t="str">
        <x:v>현재완료 핵심 퀴즈</x:v>
      </x:c>
      <x:c r="O5" s="94" t="str">
        <x:v>퀴즈</x:v>
      </x:c>
      <x:c r="P5" s="94" t="n">
        <x:v>1</x:v>
      </x:c>
      <x:c r="Q5" s="94" t="n">
        <x:v>6</x:v>
      </x:c>
      <x:c r="R5" s="91" t="str">
        <x:v>현재완료 핵심 규칙을 빠르게 확인</x:v>
      </x:c>
      <x:c r="S5" s="91" t="str">
        <x:v>시제 · 문법</x:v>
      </x:c>
      <x:c r="T5" s="95" t="str">
        <x:v>직접 일치</x:v>
      </x:c>
      <x:c r="U5" s="85" t="n">
        <x:v>35</x:v>
      </x:c>
      <x:c r="V5" s="85" t="str">
        <x:v>N/A</x:v>
      </x:c>
      <x:c r="W5" s="85"/>
      <x:c r="X5" s="85" t="str">
        <x:v>N/A</x:v>
      </x:c>
      <x:c r="Y5" s="85"/>
      <x:c r="Z5" s="85" t="str">
        <x:v>정확히 일치</x:v>
      </x:c>
      <x:c r="AA5" s="85" t="n">
        <x:v>20</x:v>
      </x:c>
      <x:c r="AB5" s="85" t="n">
        <x:f>35+IF(W5="",0,25)+IF(Y5="",0,20)+20</x:f>
        <x:v>55</x:v>
      </x:c>
      <x:c r="AC5" s="103" t="n">
        <x:f>ROUND((U5+IF(W5="",0,W5)+IF(Y5="",0,Y5)+AA5)/AB5*100,1)</x:f>
        <x:v>100</x:v>
      </x:c>
      <x:c r="AD5" s="85" t="str">
        <x:f>IF(AC5&gt;=80,"high",IF(AC5&gt;=50,"medium","low"))</x:f>
        <x:v>high</x:v>
      </x:c>
      <x:c r="AE5" s="88" t="str">
        <x:v>high</x:v>
      </x:c>
      <x:c r="AF5" s="100" t="str">
        <x:v>루브릭 일치</x:v>
      </x:c>
      <x:c r="AG5" s="100" t="str">
        <x:v>목표: 시제 목표가 콘텐츠 학습 목표와 직접 일치 (35/35); 유형: 행동 프로필이 없어 유형 항목을 평가에서 제외; 시간: 행동 프로필이 없어 시간 항목을 평가에서 제외; 수준: 사용자 레벨 1과 난이도 1가 일치 (20/20). 적용 항목 재환산 100점으로 판단했으며 최종 라벨은 high.</x:v>
      </x:c>
      <x:c r="AH5" s="100" t="str">
        <x:v>우선 검토</x:v>
      </x:c>
      <x:c r="AI5" s="100" t="str">
        <x:v>Codex 초안</x:v>
      </x:c>
      <x:c r="AJ5" s="100" t="str"/>
    </x:row>
    <x:row r="6" ht="52" customHeight="1">
      <x:c r="A6" s="80" t="str">
        <x:v>user-01__content-02</x:v>
      </x:c>
      <x:c r="B6" s="80" t="str">
        <x:v>user-01</x:v>
      </x:c>
      <x:c r="C6" s="80" t="str">
        <x:v>진단 시작형</x:v>
      </x:c>
      <x:c r="D6" s="80" t="str">
        <x:v>신규 · 진단 데이터만 존재</x:v>
      </x:c>
      <x:c r="E6" s="80" t="str">
        <x:v>신규</x:v>
      </x:c>
      <x:c r="F6" s="80" t="n">
        <x:v>1</x:v>
      </x:c>
      <x:c r="G6" s="92" t="str">
        <x:v>기초 시제와 조동사 정확도 향상</x:v>
      </x:c>
      <x:c r="H6" s="92" t="str">
        <x:v>시제 · 조동사 · 문법</x:v>
      </x:c>
      <x:c r="I6" s="92" t="str">
        <x:v>없음</x:v>
      </x:c>
      <x:c r="J6" s="92" t="str">
        <x:v>정보 없음</x:v>
      </x:c>
      <x:c r="K6" s="92" t="str">
        <x:v>정보 없음</x:v>
      </x:c>
      <x:c r="L6" s="80"/>
      <x:c r="M6" s="80" t="str">
        <x:v>content-02</x:v>
      </x:c>
      <x:c r="N6" s="96" t="str">
        <x:v>현재완료 개념 강의</x:v>
      </x:c>
      <x:c r="O6" s="96" t="str">
        <x:v>영상 강의</x:v>
      </x:c>
      <x:c r="P6" s="96" t="n">
        <x:v>2</x:v>
      </x:c>
      <x:c r="Q6" s="96" t="n">
        <x:v>18</x:v>
      </x:c>
      <x:c r="R6" s="92" t="str">
        <x:v>현재완료 대표 쓰임과 오류를 이해</x:v>
      </x:c>
      <x:c r="S6" s="92" t="str">
        <x:v>시제 · 문법</x:v>
      </x:c>
      <x:c r="T6" s="97" t="str">
        <x:v>직접 일치</x:v>
      </x:c>
      <x:c r="U6" s="86" t="n">
        <x:v>35</x:v>
      </x:c>
      <x:c r="V6" s="86" t="str">
        <x:v>N/A</x:v>
      </x:c>
      <x:c r="W6" s="86"/>
      <x:c r="X6" s="86" t="str">
        <x:v>N/A</x:v>
      </x:c>
      <x:c r="Y6" s="86"/>
      <x:c r="Z6" s="86" t="str">
        <x:v>허용 범위</x:v>
      </x:c>
      <x:c r="AA6" s="86" t="n">
        <x:v>14</x:v>
      </x:c>
      <x:c r="AB6" s="86" t="n">
        <x:f>35+IF(W6="",0,25)+IF(Y6="",0,20)+20</x:f>
        <x:v>55</x:v>
      </x:c>
      <x:c r="AC6" s="104" t="n">
        <x:f>ROUND((U6+IF(W6="",0,W6)+IF(Y6="",0,Y6)+AA6)/AB6*100,1)</x:f>
        <x:v>89.1</x:v>
      </x:c>
      <x:c r="AD6" s="86" t="str">
        <x:f>IF(AC6&gt;=80,"high",IF(AC6&gt;=50,"medium","low"))</x:f>
        <x:v>high</x:v>
      </x:c>
      <x:c r="AE6" s="89" t="str">
        <x:v>high</x:v>
      </x:c>
      <x:c r="AF6" s="101" t="str">
        <x:v>루브릭 일치</x:v>
      </x:c>
      <x:c r="AG6" s="101" t="str">
        <x:v>목표: 시제 목표가 콘텐츠 학습 목표와 직접 일치 (35/35); 유형: 행동 프로필이 없어 유형 항목을 평가에서 제외; 시간: 행동 프로필이 없어 시간 항목을 평가에서 제외; 수준: 사용자 레벨과 난이도 차이가 1단계 (14/20). 적용 항목 재환산 89.1점으로 판단했으며 최종 라벨은 high.</x:v>
      </x:c>
      <x:c r="AH6" s="101" t="str">
        <x:v>우선 검토</x:v>
      </x:c>
      <x:c r="AI6" s="101" t="str">
        <x:v>Codex 초안</x:v>
      </x:c>
      <x:c r="AJ6" s="101" t="str"/>
    </x:row>
    <x:row r="7" ht="52" customHeight="1">
      <x:c r="A7" s="80" t="str">
        <x:v>user-01__content-03</x:v>
      </x:c>
      <x:c r="B7" s="80" t="str">
        <x:v>user-01</x:v>
      </x:c>
      <x:c r="C7" s="80" t="str">
        <x:v>진단 시작형</x:v>
      </x:c>
      <x:c r="D7" s="80" t="str">
        <x:v>신규 · 진단 데이터만 존재</x:v>
      </x:c>
      <x:c r="E7" s="80" t="str">
        <x:v>신규</x:v>
      </x:c>
      <x:c r="F7" s="80" t="n">
        <x:v>1</x:v>
      </x:c>
      <x:c r="G7" s="92" t="str">
        <x:v>기초 시제와 조동사 정확도 향상</x:v>
      </x:c>
      <x:c r="H7" s="92" t="str">
        <x:v>시제 · 조동사 · 문법</x:v>
      </x:c>
      <x:c r="I7" s="92" t="str">
        <x:v>없음</x:v>
      </x:c>
      <x:c r="J7" s="92" t="str">
        <x:v>정보 없음</x:v>
      </x:c>
      <x:c r="K7" s="92" t="str">
        <x:v>정보 없음</x:v>
      </x:c>
      <x:c r="L7" s="80"/>
      <x:c r="M7" s="80" t="str">
        <x:v>content-03</x:v>
      </x:c>
      <x:c r="N7" s="96" t="str">
        <x:v>현재완료 예문 읽기</x:v>
      </x:c>
      <x:c r="O7" s="96" t="str">
        <x:v>예문 읽기</x:v>
      </x:c>
      <x:c r="P7" s="96" t="n">
        <x:v>2</x:v>
      </x:c>
      <x:c r="Q7" s="96" t="n">
        <x:v>12</x:v>
      </x:c>
      <x:c r="R7" s="92" t="str">
        <x:v>현재완료 문맥 속 쓰임을 구별</x:v>
      </x:c>
      <x:c r="S7" s="92" t="str">
        <x:v>시제 · 문법</x:v>
      </x:c>
      <x:c r="T7" s="97" t="str">
        <x:v>직접 일치</x:v>
      </x:c>
      <x:c r="U7" s="86" t="n">
        <x:v>35</x:v>
      </x:c>
      <x:c r="V7" s="86" t="str">
        <x:v>N/A</x:v>
      </x:c>
      <x:c r="W7" s="86"/>
      <x:c r="X7" s="86" t="str">
        <x:v>N/A</x:v>
      </x:c>
      <x:c r="Y7" s="86"/>
      <x:c r="Z7" s="86" t="str">
        <x:v>허용 범위</x:v>
      </x:c>
      <x:c r="AA7" s="86" t="n">
        <x:v>14</x:v>
      </x:c>
      <x:c r="AB7" s="86" t="n">
        <x:f>35+IF(W7="",0,25)+IF(Y7="",0,20)+20</x:f>
        <x:v>55</x:v>
      </x:c>
      <x:c r="AC7" s="104" t="n">
        <x:f>ROUND((U7+IF(W7="",0,W7)+IF(Y7="",0,Y7)+AA7)/AB7*100,1)</x:f>
        <x:v>89.1</x:v>
      </x:c>
      <x:c r="AD7" s="86" t="str">
        <x:f>IF(AC7&gt;=80,"high",IF(AC7&gt;=50,"medium","low"))</x:f>
        <x:v>high</x:v>
      </x:c>
      <x:c r="AE7" s="89" t="str">
        <x:v>high</x:v>
      </x:c>
      <x:c r="AF7" s="101" t="str">
        <x:v>루브릭 일치</x:v>
      </x:c>
      <x:c r="AG7" s="101" t="str">
        <x:v>목표: 시제 목표가 콘텐츠 학습 목표와 직접 일치 (35/35); 유형: 행동 프로필이 없어 유형 항목을 평가에서 제외; 시간: 행동 프로필이 없어 시간 항목을 평가에서 제외; 수준: 사용자 레벨과 난이도 차이가 1단계 (14/20). 적용 항목 재환산 89.1점으로 판단했으며 최종 라벨은 high.</x:v>
      </x:c>
      <x:c r="AH7" s="101" t="str">
        <x:v>우선 검토</x:v>
      </x:c>
      <x:c r="AI7" s="101" t="str">
        <x:v>Codex 초안</x:v>
      </x:c>
      <x:c r="AJ7" s="101" t="str"/>
    </x:row>
    <x:row r="8" ht="52" customHeight="1">
      <x:c r="A8" s="80" t="str">
        <x:v>user-01__content-05</x:v>
      </x:c>
      <x:c r="B8" s="80" t="str">
        <x:v>user-01</x:v>
      </x:c>
      <x:c r="C8" s="80" t="str">
        <x:v>진단 시작형</x:v>
      </x:c>
      <x:c r="D8" s="80" t="str">
        <x:v>신규 · 진단 데이터만 존재</x:v>
      </x:c>
      <x:c r="E8" s="80" t="str">
        <x:v>신규</x:v>
      </x:c>
      <x:c r="F8" s="80" t="n">
        <x:v>1</x:v>
      </x:c>
      <x:c r="G8" s="92" t="str">
        <x:v>기초 시제와 조동사 정확도 향상</x:v>
      </x:c>
      <x:c r="H8" s="92" t="str">
        <x:v>시제 · 조동사 · 문법</x:v>
      </x:c>
      <x:c r="I8" s="92" t="str">
        <x:v>없음</x:v>
      </x:c>
      <x:c r="J8" s="92" t="str">
        <x:v>정보 없음</x:v>
      </x:c>
      <x:c r="K8" s="92" t="str">
        <x:v>정보 없음</x:v>
      </x:c>
      <x:c r="L8" s="80"/>
      <x:c r="M8" s="80" t="str">
        <x:v>content-05</x:v>
      </x:c>
      <x:c r="N8" s="96" t="str">
        <x:v>현재완료 오답 교정</x:v>
      </x:c>
      <x:c r="O8" s="96" t="str">
        <x:v>퀴즈</x:v>
      </x:c>
      <x:c r="P8" s="96" t="n">
        <x:v>2</x:v>
      </x:c>
      <x:c r="Q8" s="96" t="n">
        <x:v>9</x:v>
      </x:c>
      <x:c r="R8" s="92" t="str">
        <x:v>현재완료 자주 틀리는 유형을 교정</x:v>
      </x:c>
      <x:c r="S8" s="92" t="str">
        <x:v>시제 · 문법</x:v>
      </x:c>
      <x:c r="T8" s="97" t="str">
        <x:v>직접 일치</x:v>
      </x:c>
      <x:c r="U8" s="86" t="n">
        <x:v>35</x:v>
      </x:c>
      <x:c r="V8" s="86" t="str">
        <x:v>N/A</x:v>
      </x:c>
      <x:c r="W8" s="86"/>
      <x:c r="X8" s="86" t="str">
        <x:v>N/A</x:v>
      </x:c>
      <x:c r="Y8" s="86"/>
      <x:c r="Z8" s="86" t="str">
        <x:v>허용 범위</x:v>
      </x:c>
      <x:c r="AA8" s="86" t="n">
        <x:v>14</x:v>
      </x:c>
      <x:c r="AB8" s="86" t="n">
        <x:f>35+IF(W8="",0,25)+IF(Y8="",0,20)+20</x:f>
        <x:v>55</x:v>
      </x:c>
      <x:c r="AC8" s="104" t="n">
        <x:f>ROUND((U8+IF(W8="",0,W8)+IF(Y8="",0,Y8)+AA8)/AB8*100,1)</x:f>
        <x:v>89.1</x:v>
      </x:c>
      <x:c r="AD8" s="86" t="str">
        <x:f>IF(AC8&gt;=80,"high",IF(AC8&gt;=50,"medium","low"))</x:f>
        <x:v>high</x:v>
      </x:c>
      <x:c r="AE8" s="89" t="str">
        <x:v>high</x:v>
      </x:c>
      <x:c r="AF8" s="101" t="str">
        <x:v>루브릭 일치</x:v>
      </x:c>
      <x:c r="AG8" s="101" t="str">
        <x:v>목표: 시제 목표가 콘텐츠 학습 목표와 직접 일치 (35/35); 유형: 행동 프로필이 없어 유형 항목을 평가에서 제외; 시간: 행동 프로필이 없어 시간 항목을 평가에서 제외; 수준: 사용자 레벨과 난이도 차이가 1단계 (14/20). 적용 항목 재환산 89.1점으로 판단했으며 최종 라벨은 high.</x:v>
      </x:c>
      <x:c r="AH8" s="101" t="str">
        <x:v>우선 검토</x:v>
      </x:c>
      <x:c r="AI8" s="101" t="str">
        <x:v>Codex 초안</x:v>
      </x:c>
      <x:c r="AJ8" s="101" t="str"/>
    </x:row>
    <x:row r="9" ht="52" customHeight="1">
      <x:c r="A9" s="80" t="str">
        <x:v>user-01__content-11</x:v>
      </x:c>
      <x:c r="B9" s="80" t="str">
        <x:v>user-01</x:v>
      </x:c>
      <x:c r="C9" s="80" t="str">
        <x:v>진단 시작형</x:v>
      </x:c>
      <x:c r="D9" s="80" t="str">
        <x:v>신규 · 진단 데이터만 존재</x:v>
      </x:c>
      <x:c r="E9" s="80" t="str">
        <x:v>신규</x:v>
      </x:c>
      <x:c r="F9" s="80" t="n">
        <x:v>1</x:v>
      </x:c>
      <x:c r="G9" s="92" t="str">
        <x:v>기초 시제와 조동사 정확도 향상</x:v>
      </x:c>
      <x:c r="H9" s="92" t="str">
        <x:v>시제 · 조동사 · 문법</x:v>
      </x:c>
      <x:c r="I9" s="92" t="str">
        <x:v>없음</x:v>
      </x:c>
      <x:c r="J9" s="92" t="str">
        <x:v>정보 없음</x:v>
      </x:c>
      <x:c r="K9" s="92" t="str">
        <x:v>정보 없음</x:v>
      </x:c>
      <x:c r="L9" s="80"/>
      <x:c r="M9" s="80" t="str">
        <x:v>content-11</x:v>
      </x:c>
      <x:c r="N9" s="96" t="str">
        <x:v>조동사 핵심 퀴즈</x:v>
      </x:c>
      <x:c r="O9" s="96" t="str">
        <x:v>퀴즈</x:v>
      </x:c>
      <x:c r="P9" s="96" t="n">
        <x:v>1</x:v>
      </x:c>
      <x:c r="Q9" s="96" t="n">
        <x:v>6</x:v>
      </x:c>
      <x:c r="R9" s="92" t="str">
        <x:v>조동사 핵심 규칙을 빠르게 확인</x:v>
      </x:c>
      <x:c r="S9" s="92" t="str">
        <x:v>조동사 · 문법</x:v>
      </x:c>
      <x:c r="T9" s="97" t="str">
        <x:v>직접 일치</x:v>
      </x:c>
      <x:c r="U9" s="86" t="n">
        <x:v>35</x:v>
      </x:c>
      <x:c r="V9" s="86" t="str">
        <x:v>N/A</x:v>
      </x:c>
      <x:c r="W9" s="86"/>
      <x:c r="X9" s="86" t="str">
        <x:v>N/A</x:v>
      </x:c>
      <x:c r="Y9" s="86"/>
      <x:c r="Z9" s="86" t="str">
        <x:v>정확히 일치</x:v>
      </x:c>
      <x:c r="AA9" s="86" t="n">
        <x:v>20</x:v>
      </x:c>
      <x:c r="AB9" s="86" t="n">
        <x:f>35+IF(W9="",0,25)+IF(Y9="",0,20)+20</x:f>
        <x:v>55</x:v>
      </x:c>
      <x:c r="AC9" s="104" t="n">
        <x:f>ROUND((U9+IF(W9="",0,W9)+IF(Y9="",0,Y9)+AA9)/AB9*100,1)</x:f>
        <x:v>100</x:v>
      </x:c>
      <x:c r="AD9" s="86" t="str">
        <x:f>IF(AC9&gt;=80,"high",IF(AC9&gt;=50,"medium","low"))</x:f>
        <x:v>high</x:v>
      </x:c>
      <x:c r="AE9" s="89" t="str">
        <x:v>high</x:v>
      </x:c>
      <x:c r="AF9" s="101" t="str">
        <x:v>루브릭 일치</x:v>
      </x:c>
      <x:c r="AG9" s="101" t="str">
        <x:v>목표: 조동사 목표가 콘텐츠 학습 목표와 직접 일치 (35/35); 유형: 행동 프로필이 없어 유형 항목을 평가에서 제외; 시간: 행동 프로필이 없어 시간 항목을 평가에서 제외; 수준: 사용자 레벨 1과 난이도 1가 일치 (20/20). 적용 항목 재환산 100점으로 판단했으며 최종 라벨은 high.</x:v>
      </x:c>
      <x:c r="AH9" s="101" t="str">
        <x:v>우선 검토</x:v>
      </x:c>
      <x:c r="AI9" s="101" t="str">
        <x:v>Codex 초안</x:v>
      </x:c>
      <x:c r="AJ9" s="101" t="str"/>
    </x:row>
    <x:row r="10" ht="52" customHeight="1">
      <x:c r="A10" s="80" t="str">
        <x:v>user-01__content-12</x:v>
      </x:c>
      <x:c r="B10" s="80" t="str">
        <x:v>user-01</x:v>
      </x:c>
      <x:c r="C10" s="80" t="str">
        <x:v>진단 시작형</x:v>
      </x:c>
      <x:c r="D10" s="80" t="str">
        <x:v>신규 · 진단 데이터만 존재</x:v>
      </x:c>
      <x:c r="E10" s="80" t="str">
        <x:v>신규</x:v>
      </x:c>
      <x:c r="F10" s="80" t="n">
        <x:v>1</x:v>
      </x:c>
      <x:c r="G10" s="92" t="str">
        <x:v>기초 시제와 조동사 정확도 향상</x:v>
      </x:c>
      <x:c r="H10" s="92" t="str">
        <x:v>시제 · 조동사 · 문법</x:v>
      </x:c>
      <x:c r="I10" s="92" t="str">
        <x:v>없음</x:v>
      </x:c>
      <x:c r="J10" s="92" t="str">
        <x:v>정보 없음</x:v>
      </x:c>
      <x:c r="K10" s="92" t="str">
        <x:v>정보 없음</x:v>
      </x:c>
      <x:c r="L10" s="80"/>
      <x:c r="M10" s="80" t="str">
        <x:v>content-12</x:v>
      </x:c>
      <x:c r="N10" s="96" t="str">
        <x:v>조동사 개념 강의</x:v>
      </x:c>
      <x:c r="O10" s="96" t="str">
        <x:v>영상 강의</x:v>
      </x:c>
      <x:c r="P10" s="96" t="n">
        <x:v>2</x:v>
      </x:c>
      <x:c r="Q10" s="96" t="n">
        <x:v>18</x:v>
      </x:c>
      <x:c r="R10" s="92" t="str">
        <x:v>조동사 대표 쓰임과 오류를 이해</x:v>
      </x:c>
      <x:c r="S10" s="92" t="str">
        <x:v>조동사 · 문법</x:v>
      </x:c>
      <x:c r="T10" s="97" t="str">
        <x:v>직접 일치</x:v>
      </x:c>
      <x:c r="U10" s="86" t="n">
        <x:v>35</x:v>
      </x:c>
      <x:c r="V10" s="86" t="str">
        <x:v>N/A</x:v>
      </x:c>
      <x:c r="W10" s="86"/>
      <x:c r="X10" s="86" t="str">
        <x:v>N/A</x:v>
      </x:c>
      <x:c r="Y10" s="86"/>
      <x:c r="Z10" s="86" t="str">
        <x:v>허용 범위</x:v>
      </x:c>
      <x:c r="AA10" s="86" t="n">
        <x:v>14</x:v>
      </x:c>
      <x:c r="AB10" s="86" t="n">
        <x:f>35+IF(W10="",0,25)+IF(Y10="",0,20)+20</x:f>
        <x:v>55</x:v>
      </x:c>
      <x:c r="AC10" s="104" t="n">
        <x:f>ROUND((U10+IF(W10="",0,W10)+IF(Y10="",0,Y10)+AA10)/AB10*100,1)</x:f>
        <x:v>89.1</x:v>
      </x:c>
      <x:c r="AD10" s="86" t="str">
        <x:f>IF(AC10&gt;=80,"high",IF(AC10&gt;=50,"medium","low"))</x:f>
        <x:v>high</x:v>
      </x:c>
      <x:c r="AE10" s="89" t="str">
        <x:v>high</x:v>
      </x:c>
      <x:c r="AF10" s="101" t="str">
        <x:v>루브릭 일치</x:v>
      </x:c>
      <x:c r="AG10" s="101" t="str">
        <x:v>목표: 조동사 목표가 콘텐츠 학습 목표와 직접 일치 (35/35); 유형: 행동 프로필이 없어 유형 항목을 평가에서 제외; 시간: 행동 프로필이 없어 시간 항목을 평가에서 제외; 수준: 사용자 레벨과 난이도 차이가 1단계 (14/20). 적용 항목 재환산 89.1점으로 판단했으며 최종 라벨은 high.</x:v>
      </x:c>
      <x:c r="AH10" s="101" t="str">
        <x:v>우선 검토</x:v>
      </x:c>
      <x:c r="AI10" s="101" t="str">
        <x:v>Codex 초안</x:v>
      </x:c>
      <x:c r="AJ10" s="101" t="str"/>
    </x:row>
    <x:row r="11" ht="52" customHeight="1">
      <x:c r="A11" s="80" t="str">
        <x:v>user-01__content-13</x:v>
      </x:c>
      <x:c r="B11" s="80" t="str">
        <x:v>user-01</x:v>
      </x:c>
      <x:c r="C11" s="80" t="str">
        <x:v>진단 시작형</x:v>
      </x:c>
      <x:c r="D11" s="80" t="str">
        <x:v>신규 · 진단 데이터만 존재</x:v>
      </x:c>
      <x:c r="E11" s="80" t="str">
        <x:v>신규</x:v>
      </x:c>
      <x:c r="F11" s="80" t="n">
        <x:v>1</x:v>
      </x:c>
      <x:c r="G11" s="92" t="str">
        <x:v>기초 시제와 조동사 정확도 향상</x:v>
      </x:c>
      <x:c r="H11" s="92" t="str">
        <x:v>시제 · 조동사 · 문법</x:v>
      </x:c>
      <x:c r="I11" s="92" t="str">
        <x:v>없음</x:v>
      </x:c>
      <x:c r="J11" s="92" t="str">
        <x:v>정보 없음</x:v>
      </x:c>
      <x:c r="K11" s="92" t="str">
        <x:v>정보 없음</x:v>
      </x:c>
      <x:c r="L11" s="80"/>
      <x:c r="M11" s="80" t="str">
        <x:v>content-13</x:v>
      </x:c>
      <x:c r="N11" s="96" t="str">
        <x:v>조동사 예문 읽기</x:v>
      </x:c>
      <x:c r="O11" s="96" t="str">
        <x:v>예문 읽기</x:v>
      </x:c>
      <x:c r="P11" s="96" t="n">
        <x:v>2</x:v>
      </x:c>
      <x:c r="Q11" s="96" t="n">
        <x:v>12</x:v>
      </x:c>
      <x:c r="R11" s="92" t="str">
        <x:v>조동사 문맥 속 쓰임을 구별</x:v>
      </x:c>
      <x:c r="S11" s="92" t="str">
        <x:v>조동사 · 문법</x:v>
      </x:c>
      <x:c r="T11" s="97" t="str">
        <x:v>직접 일치</x:v>
      </x:c>
      <x:c r="U11" s="86" t="n">
        <x:v>35</x:v>
      </x:c>
      <x:c r="V11" s="86" t="str">
        <x:v>N/A</x:v>
      </x:c>
      <x:c r="W11" s="86"/>
      <x:c r="X11" s="86" t="str">
        <x:v>N/A</x:v>
      </x:c>
      <x:c r="Y11" s="86"/>
      <x:c r="Z11" s="86" t="str">
        <x:v>허용 범위</x:v>
      </x:c>
      <x:c r="AA11" s="86" t="n">
        <x:v>14</x:v>
      </x:c>
      <x:c r="AB11" s="86" t="n">
        <x:f>35+IF(W11="",0,25)+IF(Y11="",0,20)+20</x:f>
        <x:v>55</x:v>
      </x:c>
      <x:c r="AC11" s="104" t="n">
        <x:f>ROUND((U11+IF(W11="",0,W11)+IF(Y11="",0,Y11)+AA11)/AB11*100,1)</x:f>
        <x:v>89.1</x:v>
      </x:c>
      <x:c r="AD11" s="86" t="str">
        <x:f>IF(AC11&gt;=80,"high",IF(AC11&gt;=50,"medium","low"))</x:f>
        <x:v>high</x:v>
      </x:c>
      <x:c r="AE11" s="89" t="str">
        <x:v>high</x:v>
      </x:c>
      <x:c r="AF11" s="101" t="str">
        <x:v>루브릭 일치</x:v>
      </x:c>
      <x:c r="AG11" s="101" t="str">
        <x:v>목표: 조동사 목표가 콘텐츠 학습 목표와 직접 일치 (35/35); 유형: 행동 프로필이 없어 유형 항목을 평가에서 제외; 시간: 행동 프로필이 없어 시간 항목을 평가에서 제외; 수준: 사용자 레벨과 난이도 차이가 1단계 (14/20). 적용 항목 재환산 89.1점으로 판단했으며 최종 라벨은 high.</x:v>
      </x:c>
      <x:c r="AH11" s="101" t="str">
        <x:v>우선 검토</x:v>
      </x:c>
      <x:c r="AI11" s="101" t="str">
        <x:v>Codex 초안</x:v>
      </x:c>
      <x:c r="AJ11" s="101" t="str"/>
    </x:row>
    <x:row r="12" ht="52" customHeight="1">
      <x:c r="A12" s="80" t="str">
        <x:v>user-01__content-15</x:v>
      </x:c>
      <x:c r="B12" s="80" t="str">
        <x:v>user-01</x:v>
      </x:c>
      <x:c r="C12" s="80" t="str">
        <x:v>진단 시작형</x:v>
      </x:c>
      <x:c r="D12" s="80" t="str">
        <x:v>신규 · 진단 데이터만 존재</x:v>
      </x:c>
      <x:c r="E12" s="80" t="str">
        <x:v>신규</x:v>
      </x:c>
      <x:c r="F12" s="80" t="n">
        <x:v>1</x:v>
      </x:c>
      <x:c r="G12" s="92" t="str">
        <x:v>기초 시제와 조동사 정확도 향상</x:v>
      </x:c>
      <x:c r="H12" s="92" t="str">
        <x:v>시제 · 조동사 · 문법</x:v>
      </x:c>
      <x:c r="I12" s="92" t="str">
        <x:v>없음</x:v>
      </x:c>
      <x:c r="J12" s="92" t="str">
        <x:v>정보 없음</x:v>
      </x:c>
      <x:c r="K12" s="92" t="str">
        <x:v>정보 없음</x:v>
      </x:c>
      <x:c r="L12" s="80"/>
      <x:c r="M12" s="80" t="str">
        <x:v>content-15</x:v>
      </x:c>
      <x:c r="N12" s="96" t="str">
        <x:v>조동사 오답 교정</x:v>
      </x:c>
      <x:c r="O12" s="96" t="str">
        <x:v>퀴즈</x:v>
      </x:c>
      <x:c r="P12" s="96" t="n">
        <x:v>2</x:v>
      </x:c>
      <x:c r="Q12" s="96" t="n">
        <x:v>9</x:v>
      </x:c>
      <x:c r="R12" s="92" t="str">
        <x:v>조동사 자주 틀리는 유형을 교정</x:v>
      </x:c>
      <x:c r="S12" s="92" t="str">
        <x:v>조동사 · 문법</x:v>
      </x:c>
      <x:c r="T12" s="97" t="str">
        <x:v>직접 일치</x:v>
      </x:c>
      <x:c r="U12" s="86" t="n">
        <x:v>35</x:v>
      </x:c>
      <x:c r="V12" s="86" t="str">
        <x:v>N/A</x:v>
      </x:c>
      <x:c r="W12" s="86"/>
      <x:c r="X12" s="86" t="str">
        <x:v>N/A</x:v>
      </x:c>
      <x:c r="Y12" s="86"/>
      <x:c r="Z12" s="86" t="str">
        <x:v>허용 범위</x:v>
      </x:c>
      <x:c r="AA12" s="86" t="n">
        <x:v>14</x:v>
      </x:c>
      <x:c r="AB12" s="86" t="n">
        <x:f>35+IF(W12="",0,25)+IF(Y12="",0,20)+20</x:f>
        <x:v>55</x:v>
      </x:c>
      <x:c r="AC12" s="104" t="n">
        <x:f>ROUND((U12+IF(W12="",0,W12)+IF(Y12="",0,Y12)+AA12)/AB12*100,1)</x:f>
        <x:v>89.1</x:v>
      </x:c>
      <x:c r="AD12" s="86" t="str">
        <x:f>IF(AC12&gt;=80,"high",IF(AC12&gt;=50,"medium","low"))</x:f>
        <x:v>high</x:v>
      </x:c>
      <x:c r="AE12" s="89" t="str">
        <x:v>high</x:v>
      </x:c>
      <x:c r="AF12" s="101" t="str">
        <x:v>루브릭 일치</x:v>
      </x:c>
      <x:c r="AG12" s="101" t="str">
        <x:v>목표: 조동사 목표가 콘텐츠 학습 목표와 직접 일치 (35/35); 유형: 행동 프로필이 없어 유형 항목을 평가에서 제외; 시간: 행동 프로필이 없어 시간 항목을 평가에서 제외; 수준: 사용자 레벨과 난이도 차이가 1단계 (14/20). 적용 항목 재환산 89.1점으로 판단했으며 최종 라벨은 high.</x:v>
      </x:c>
      <x:c r="AH12" s="101" t="str">
        <x:v>우선 검토</x:v>
      </x:c>
      <x:c r="AI12" s="101" t="str">
        <x:v>Codex 초안</x:v>
      </x:c>
      <x:c r="AJ12" s="101" t="str"/>
    </x:row>
    <x:row r="13" ht="52" customHeight="1">
      <x:c r="A13" s="80" t="str">
        <x:v>user-01__content-21</x:v>
      </x:c>
      <x:c r="B13" s="80" t="str">
        <x:v>user-01</x:v>
      </x:c>
      <x:c r="C13" s="80" t="str">
        <x:v>진단 시작형</x:v>
      </x:c>
      <x:c r="D13" s="80" t="str">
        <x:v>신규 · 진단 데이터만 존재</x:v>
      </x:c>
      <x:c r="E13" s="80" t="str">
        <x:v>신규</x:v>
      </x:c>
      <x:c r="F13" s="80" t="n">
        <x:v>1</x:v>
      </x:c>
      <x:c r="G13" s="92" t="str">
        <x:v>기초 시제와 조동사 정확도 향상</x:v>
      </x:c>
      <x:c r="H13" s="92" t="str">
        <x:v>시제 · 조동사 · 문법</x:v>
      </x:c>
      <x:c r="I13" s="92" t="str">
        <x:v>없음</x:v>
      </x:c>
      <x:c r="J13" s="92" t="str">
        <x:v>정보 없음</x:v>
      </x:c>
      <x:c r="K13" s="92" t="str">
        <x:v>정보 없음</x:v>
      </x:c>
      <x:c r="L13" s="80"/>
      <x:c r="M13" s="80" t="str">
        <x:v>content-21</x:v>
      </x:c>
      <x:c r="N13" s="96" t="str">
        <x:v>관계대명사 핵심 퀴즈</x:v>
      </x:c>
      <x:c r="O13" s="96" t="str">
        <x:v>퀴즈</x:v>
      </x:c>
      <x:c r="P13" s="96" t="n">
        <x:v>1</x:v>
      </x:c>
      <x:c r="Q13" s="96" t="n">
        <x:v>6</x:v>
      </x:c>
      <x:c r="R13" s="92" t="str">
        <x:v>관계대명사 핵심 규칙을 빠르게 확인</x:v>
      </x:c>
      <x:c r="S13" s="92" t="str">
        <x:v>관계절 · 문법</x:v>
      </x:c>
      <x:c r="T13" s="97" t="str">
        <x:v>인접 영역</x:v>
      </x:c>
      <x:c r="U13" s="86" t="n">
        <x:v>18</x:v>
      </x:c>
      <x:c r="V13" s="86" t="str">
        <x:v>N/A</x:v>
      </x:c>
      <x:c r="W13" s="86"/>
      <x:c r="X13" s="86" t="str">
        <x:v>N/A</x:v>
      </x:c>
      <x:c r="Y13" s="86"/>
      <x:c r="Z13" s="86" t="str">
        <x:v>정확히 일치</x:v>
      </x:c>
      <x:c r="AA13" s="86" t="n">
        <x:v>20</x:v>
      </x:c>
      <x:c r="AB13" s="86" t="n">
        <x:f>35+IF(W13="",0,25)+IF(Y13="",0,20)+20</x:f>
        <x:v>55</x:v>
      </x:c>
      <x:c r="AC13" s="104" t="n">
        <x:f>ROUND((U13+IF(W13="",0,W13)+IF(Y13="",0,Y13)+AA13)/AB13*100,1)</x:f>
        <x:v>69.1</x:v>
      </x:c>
      <x:c r="AD13" s="86" t="str">
        <x:f>IF(AC13&gt;=80,"high",IF(AC13&gt;=50,"medium","low"))</x:f>
        <x:v>medium</x:v>
      </x:c>
      <x:c r="AE13" s="89" t="str">
        <x:v>medium</x:v>
      </x:c>
      <x:c r="AF13" s="101" t="str">
        <x:v>루브릭 일치</x:v>
      </x:c>
      <x:c r="AG13" s="101" t="str">
        <x:v>목표: 일반 문법 영역은 겹치지만 사용자가 명시한 세부 목표와는 다름 (18/35); 유형: 행동 프로필이 없어 유형 항목을 평가에서 제외; 시간: 행동 프로필이 없어 시간 항목을 평가에서 제외; 수준: 사용자 레벨 1과 난이도 1가 일치 (20/20). 적용 항목 재환산 69.1점으로 판단했으며 최종 라벨은 medium.</x:v>
      </x:c>
      <x:c r="AH13" s="101" t="str">
        <x:v>우선 검토</x:v>
      </x:c>
      <x:c r="AI13" s="101" t="str">
        <x:v>Codex 초안</x:v>
      </x:c>
      <x:c r="AJ13" s="101" t="str"/>
    </x:row>
    <x:row r="14" ht="52" customHeight="1">
      <x:c r="A14" s="80" t="str">
        <x:v>user-01__content-22</x:v>
      </x:c>
      <x:c r="B14" s="80" t="str">
        <x:v>user-01</x:v>
      </x:c>
      <x:c r="C14" s="80" t="str">
        <x:v>진단 시작형</x:v>
      </x:c>
      <x:c r="D14" s="80" t="str">
        <x:v>신규 · 진단 데이터만 존재</x:v>
      </x:c>
      <x:c r="E14" s="80" t="str">
        <x:v>신규</x:v>
      </x:c>
      <x:c r="F14" s="80" t="n">
        <x:v>1</x:v>
      </x:c>
      <x:c r="G14" s="92" t="str">
        <x:v>기초 시제와 조동사 정확도 향상</x:v>
      </x:c>
      <x:c r="H14" s="92" t="str">
        <x:v>시제 · 조동사 · 문법</x:v>
      </x:c>
      <x:c r="I14" s="92" t="str">
        <x:v>없음</x:v>
      </x:c>
      <x:c r="J14" s="92" t="str">
        <x:v>정보 없음</x:v>
      </x:c>
      <x:c r="K14" s="92" t="str">
        <x:v>정보 없음</x:v>
      </x:c>
      <x:c r="L14" s="80"/>
      <x:c r="M14" s="80" t="str">
        <x:v>content-22</x:v>
      </x:c>
      <x:c r="N14" s="96" t="str">
        <x:v>관계대명사 개념 강의</x:v>
      </x:c>
      <x:c r="O14" s="96" t="str">
        <x:v>영상 강의</x:v>
      </x:c>
      <x:c r="P14" s="96" t="n">
        <x:v>2</x:v>
      </x:c>
      <x:c r="Q14" s="96" t="n">
        <x:v>18</x:v>
      </x:c>
      <x:c r="R14" s="92" t="str">
        <x:v>관계대명사 대표 쓰임과 오류를 이해</x:v>
      </x:c>
      <x:c r="S14" s="92" t="str">
        <x:v>관계절 · 문법</x:v>
      </x:c>
      <x:c r="T14" s="97" t="str">
        <x:v>인접 영역</x:v>
      </x:c>
      <x:c r="U14" s="86" t="n">
        <x:v>18</x:v>
      </x:c>
      <x:c r="V14" s="86" t="str">
        <x:v>N/A</x:v>
      </x:c>
      <x:c r="W14" s="86"/>
      <x:c r="X14" s="86" t="str">
        <x:v>N/A</x:v>
      </x:c>
      <x:c r="Y14" s="86"/>
      <x:c r="Z14" s="86" t="str">
        <x:v>허용 범위</x:v>
      </x:c>
      <x:c r="AA14" s="86" t="n">
        <x:v>14</x:v>
      </x:c>
      <x:c r="AB14" s="86" t="n">
        <x:f>35+IF(W14="",0,25)+IF(Y14="",0,20)+20</x:f>
        <x:v>55</x:v>
      </x:c>
      <x:c r="AC14" s="104" t="n">
        <x:f>ROUND((U14+IF(W14="",0,W14)+IF(Y14="",0,Y14)+AA14)/AB14*100,1)</x:f>
        <x:v>58.2</x:v>
      </x:c>
      <x:c r="AD14" s="86" t="str">
        <x:f>IF(AC14&gt;=80,"high",IF(AC14&gt;=50,"medium","low"))</x:f>
        <x:v>medium</x:v>
      </x:c>
      <x:c r="AE14" s="89" t="str">
        <x:v>low</x:v>
      </x:c>
      <x:c r="AF14" s="101" t="str">
        <x:v>medium → low 정성 조정</x:v>
      </x:c>
      <x:c r="AG14" s="101" t="str">
        <x:v>목표: 일반 문법 영역은 겹치지만 사용자가 명시한 세부 목표와는 다름 (18/35); 유형: 행동 프로필이 없어 유형 항목을 평가에서 제외; 시간: 행동 프로필이 없어 시간 항목을 평가에서 제외; 수준: 사용자 레벨과 난이도 차이가 1단계 (14/20). 적용 항목 재환산 58.2점으로 판단했으며 최종 라벨은 low.</x:v>
      </x:c>
      <x:c r="AH14" s="101" t="str">
        <x:v>우선 검토</x:v>
      </x:c>
      <x:c r="AI14" s="101" t="str">
        <x:v>Codex 초안</x:v>
      </x:c>
      <x:c r="AJ14" s="101" t="str"/>
    </x:row>
    <x:row r="15" ht="52" customHeight="1">
      <x:c r="A15" s="80" t="str">
        <x:v>user-02__content-06</x:v>
      </x:c>
      <x:c r="B15" s="80" t="str">
        <x:v>user-02</x:v>
      </x:c>
      <x:c r="C15" s="80" t="str">
        <x:v>혼합 전환형</x:v>
      </x:c>
      <x:c r="D15" s="80" t="str">
        <x:v>신규 · 행동 5~9회 혼합 구간</x:v>
      </x:c>
      <x:c r="E15" s="80" t="str">
        <x:v>신규</x:v>
      </x:c>
      <x:c r="F15" s="80" t="n">
        <x:v>2</x:v>
      </x:c>
      <x:c r="G15" s="92" t="str">
        <x:v>완료 시제와 수동태 오류 줄이기</x:v>
      </x:c>
      <x:c r="H15" s="92" t="str">
        <x:v>시제 · 수동태 · 문법</x:v>
      </x:c>
      <x:c r="I15" s="92" t="str">
        <x:v>있음</x:v>
      </x:c>
      <x:c r="J15" s="92" t="str">
        <x:v>심화 문제 → 퀴즈</x:v>
      </x:c>
      <x:c r="K15" s="92" t="str">
        <x:v>퀴즈 100% · 심화 문제 100%</x:v>
      </x:c>
      <x:c r="L15" s="80" t="n">
        <x:v>18.5</x:v>
      </x:c>
      <x:c r="M15" s="80" t="str">
        <x:v>content-06</x:v>
      </x:c>
      <x:c r="N15" s="96" t="str">
        <x:v>과거완료 핵심 퀴즈</x:v>
      </x:c>
      <x:c r="O15" s="96" t="str">
        <x:v>퀴즈</x:v>
      </x:c>
      <x:c r="P15" s="96" t="n">
        <x:v>1</x:v>
      </x:c>
      <x:c r="Q15" s="96" t="n">
        <x:v>6</x:v>
      </x:c>
      <x:c r="R15" s="92" t="str">
        <x:v>과거완료 핵심 규칙을 빠르게 확인</x:v>
      </x:c>
      <x:c r="S15" s="92" t="str">
        <x:v>시제 · 문법</x:v>
      </x:c>
      <x:c r="T15" s="97" t="str">
        <x:v>직접 일치</x:v>
      </x:c>
      <x:c r="U15" s="86" t="n">
        <x:v>35</x:v>
      </x:c>
      <x:c r="V15" s="86" t="str">
        <x:v>적합</x:v>
      </x:c>
      <x:c r="W15" s="86" t="n">
        <x:v>22</x:v>
      </x:c>
      <x:c r="X15" s="86" t="str">
        <x:v>매우 적합</x:v>
      </x:c>
      <x:c r="Y15" s="86" t="n">
        <x:v>20</x:v>
      </x:c>
      <x:c r="Z15" s="86" t="str">
        <x:v>허용 범위</x:v>
      </x:c>
      <x:c r="AA15" s="86" t="n">
        <x:v>14</x:v>
      </x:c>
      <x:c r="AB15" s="86" t="n">
        <x:f>35+IF(W15="",0,25)+IF(Y15="",0,20)+20</x:f>
        <x:v>100</x:v>
      </x:c>
      <x:c r="AC15" s="104" t="n">
        <x:f>ROUND((U15+IF(W15="",0,W15)+IF(Y15="",0,Y15)+AA15)/AB15*100,1)</x:f>
        <x:v>91</x:v>
      </x:c>
      <x:c r="AD15" s="86" t="str">
        <x:f>IF(AC15&gt;=80,"high",IF(AC15&gt;=50,"medium","low"))</x:f>
        <x:v>high</x:v>
      </x:c>
      <x:c r="AE15" s="89" t="str">
        <x:v>high</x:v>
      </x:c>
      <x:c r="AF15" s="101" t="str">
        <x:v>루브릭 일치</x:v>
      </x:c>
      <x:c r="AG15" s="101" t="str">
        <x:v>목표: 시제 목표가 콘텐츠 학습 목표와 직접 일치 (35/35); 유형: 2순위 선호 유형 (22/25); 시간: 6분이 평균 18.5분 이내 (20/20); 수준: 사용자 레벨과 난이도 차이가 1단계 (14/20). 적용 항목 재환산 91점으로 판단했으며 최종 라벨은 high.</x:v>
      </x:c>
      <x:c r="AH15" s="101" t="str">
        <x:v>일반</x:v>
      </x:c>
      <x:c r="AI15" s="101" t="str">
        <x:v>Codex 초안</x:v>
      </x:c>
      <x:c r="AJ15" s="101" t="str"/>
    </x:row>
    <x:row r="16" ht="52" customHeight="1">
      <x:c r="A16" s="80" t="str">
        <x:v>user-02__content-07</x:v>
      </x:c>
      <x:c r="B16" s="80" t="str">
        <x:v>user-02</x:v>
      </x:c>
      <x:c r="C16" s="80" t="str">
        <x:v>혼합 전환형</x:v>
      </x:c>
      <x:c r="D16" s="80" t="str">
        <x:v>신규 · 행동 5~9회 혼합 구간</x:v>
      </x:c>
      <x:c r="E16" s="80" t="str">
        <x:v>신규</x:v>
      </x:c>
      <x:c r="F16" s="80" t="n">
        <x:v>2</x:v>
      </x:c>
      <x:c r="G16" s="92" t="str">
        <x:v>완료 시제와 수동태 오류 줄이기</x:v>
      </x:c>
      <x:c r="H16" s="92" t="str">
        <x:v>시제 · 수동태 · 문법</x:v>
      </x:c>
      <x:c r="I16" s="92" t="str">
        <x:v>있음</x:v>
      </x:c>
      <x:c r="J16" s="92" t="str">
        <x:v>심화 문제 → 퀴즈</x:v>
      </x:c>
      <x:c r="K16" s="92" t="str">
        <x:v>퀴즈 100% · 심화 문제 100%</x:v>
      </x:c>
      <x:c r="L16" s="80" t="n">
        <x:v>18.5</x:v>
      </x:c>
      <x:c r="M16" s="80" t="str">
        <x:v>content-07</x:v>
      </x:c>
      <x:c r="N16" s="96" t="str">
        <x:v>과거완료 개념 강의</x:v>
      </x:c>
      <x:c r="O16" s="96" t="str">
        <x:v>영상 강의</x:v>
      </x:c>
      <x:c r="P16" s="96" t="n">
        <x:v>2</x:v>
      </x:c>
      <x:c r="Q16" s="96" t="n">
        <x:v>18</x:v>
      </x:c>
      <x:c r="R16" s="92" t="str">
        <x:v>과거완료 대표 쓰임과 오류를 이해</x:v>
      </x:c>
      <x:c r="S16" s="92" t="str">
        <x:v>시제 · 문법</x:v>
      </x:c>
      <x:c r="T16" s="97" t="str">
        <x:v>직접 일치</x:v>
      </x:c>
      <x:c r="U16" s="86" t="n">
        <x:v>35</x:v>
      </x:c>
      <x:c r="V16" s="86" t="str">
        <x:v>N/A</x:v>
      </x:c>
      <x:c r="W16" s="86"/>
      <x:c r="X16" s="86" t="str">
        <x:v>매우 적합</x:v>
      </x:c>
      <x:c r="Y16" s="86" t="n">
        <x:v>20</x:v>
      </x:c>
      <x:c r="Z16" s="86" t="str">
        <x:v>정확히 일치</x:v>
      </x:c>
      <x:c r="AA16" s="86" t="n">
        <x:v>20</x:v>
      </x:c>
      <x:c r="AB16" s="86" t="n">
        <x:f>35+IF(W16="",0,25)+IF(Y16="",0,20)+20</x:f>
        <x:v>75</x:v>
      </x:c>
      <x:c r="AC16" s="104" t="n">
        <x:f>ROUND((U16+IF(W16="",0,W16)+IF(Y16="",0,Y16)+AA16)/AB16*100,1)</x:f>
        <x:v>100</x:v>
      </x:c>
      <x:c r="AD16" s="86" t="str">
        <x:f>IF(AC16&gt;=80,"high",IF(AC16&gt;=50,"medium","low"))</x:f>
        <x:v>high</x:v>
      </x:c>
      <x:c r="AE16" s="89" t="str">
        <x:v>high</x:v>
      </x:c>
      <x:c r="AF16" s="101" t="str">
        <x:v>루브릭 일치</x:v>
      </x:c>
      <x:c r="AG16" s="101" t="str">
        <x:v>목표: 시제 목표가 콘텐츠 학습 목표와 직접 일치 (35/35); 유형: 해당 유형 관찰 이력이 없어 비선호로 추측하지 않고 제외; 시간: 18분이 평균 18.5분 이내 (20/20); 수준: 사용자 레벨 2과 난이도 2가 일치 (20/20). 적용 항목 재환산 100점으로 판단했으며 최종 라벨은 high.</x:v>
      </x:c>
      <x:c r="AH16" s="101" t="str">
        <x:v>일반</x:v>
      </x:c>
      <x:c r="AI16" s="101" t="str">
        <x:v>Codex 초안</x:v>
      </x:c>
      <x:c r="AJ16" s="101" t="str"/>
    </x:row>
    <x:row r="17" ht="52" customHeight="1">
      <x:c r="A17" s="80" t="str">
        <x:v>user-02__content-09</x:v>
      </x:c>
      <x:c r="B17" s="80" t="str">
        <x:v>user-02</x:v>
      </x:c>
      <x:c r="C17" s="80" t="str">
        <x:v>혼합 전환형</x:v>
      </x:c>
      <x:c r="D17" s="80" t="str">
        <x:v>신규 · 행동 5~9회 혼합 구간</x:v>
      </x:c>
      <x:c r="E17" s="80" t="str">
        <x:v>신규</x:v>
      </x:c>
      <x:c r="F17" s="80" t="n">
        <x:v>2</x:v>
      </x:c>
      <x:c r="G17" s="92" t="str">
        <x:v>완료 시제와 수동태 오류 줄이기</x:v>
      </x:c>
      <x:c r="H17" s="92" t="str">
        <x:v>시제 · 수동태 · 문법</x:v>
      </x:c>
      <x:c r="I17" s="92" t="str">
        <x:v>있음</x:v>
      </x:c>
      <x:c r="J17" s="92" t="str">
        <x:v>심화 문제 → 퀴즈</x:v>
      </x:c>
      <x:c r="K17" s="92" t="str">
        <x:v>퀴즈 100% · 심화 문제 100%</x:v>
      </x:c>
      <x:c r="L17" s="80" t="n">
        <x:v>18.5</x:v>
      </x:c>
      <x:c r="M17" s="80" t="str">
        <x:v>content-09</x:v>
      </x:c>
      <x:c r="N17" s="96" t="str">
        <x:v>과거완료 심화 문제</x:v>
      </x:c>
      <x:c r="O17" s="96" t="str">
        <x:v>심화 문제</x:v>
      </x:c>
      <x:c r="P17" s="96" t="n">
        <x:v>3</x:v>
      </x:c>
      <x:c r="Q17" s="96" t="n">
        <x:v>22</x:v>
      </x:c>
      <x:c r="R17" s="92" t="str">
        <x:v>과거완료 복합 문장에서 정확히 적용</x:v>
      </x:c>
      <x:c r="S17" s="92" t="str">
        <x:v>시제 · 문법</x:v>
      </x:c>
      <x:c r="T17" s="97" t="str">
        <x:v>직접 일치</x:v>
      </x:c>
      <x:c r="U17" s="86" t="n">
        <x:v>35</x:v>
      </x:c>
      <x:c r="V17" s="86" t="str">
        <x:v>매우 적합</x:v>
      </x:c>
      <x:c r="W17" s="86" t="n">
        <x:v>25</x:v>
      </x:c>
      <x:c r="X17" s="86" t="str">
        <x:v>적합</x:v>
      </x:c>
      <x:c r="Y17" s="86" t="n">
        <x:v>16</x:v>
      </x:c>
      <x:c r="Z17" s="86" t="str">
        <x:v>허용 범위</x:v>
      </x:c>
      <x:c r="AA17" s="86" t="n">
        <x:v>14</x:v>
      </x:c>
      <x:c r="AB17" s="86" t="n">
        <x:f>35+IF(W17="",0,25)+IF(Y17="",0,20)+20</x:f>
        <x:v>100</x:v>
      </x:c>
      <x:c r="AC17" s="104" t="n">
        <x:f>ROUND((U17+IF(W17="",0,W17)+IF(Y17="",0,Y17)+AA17)/AB17*100,1)</x:f>
        <x:v>90</x:v>
      </x:c>
      <x:c r="AD17" s="86" t="str">
        <x:f>IF(AC17&gt;=80,"high",IF(AC17&gt;=50,"medium","low"))</x:f>
        <x:v>high</x:v>
      </x:c>
      <x:c r="AE17" s="89" t="str">
        <x:v>high</x:v>
      </x:c>
      <x:c r="AF17" s="101" t="str">
        <x:v>루브릭 일치</x:v>
      </x:c>
      <x:c r="AG17" s="101" t="str">
        <x:v>목표: 시제 목표가 콘텐츠 학습 목표와 직접 일치 (35/35); 유형: 1순위 선호이며 완료율 100% (25/25); 시간: 22분이 평균 학습 시간의 1.25배 이내 (16/20); 수준: 사용자 레벨과 난이도 차이가 1단계 (14/20). 적용 항목 재환산 90점으로 판단했으며 최종 라벨은 high.</x:v>
      </x:c>
      <x:c r="AH17" s="101" t="str">
        <x:v>일반</x:v>
      </x:c>
      <x:c r="AI17" s="101" t="str">
        <x:v>Codex 초안</x:v>
      </x:c>
      <x:c r="AJ17" s="101" t="str"/>
    </x:row>
    <x:row r="18" ht="52" customHeight="1">
      <x:c r="A18" s="80" t="str">
        <x:v>user-02__content-10</x:v>
      </x:c>
      <x:c r="B18" s="80" t="str">
        <x:v>user-02</x:v>
      </x:c>
      <x:c r="C18" s="80" t="str">
        <x:v>혼합 전환형</x:v>
      </x:c>
      <x:c r="D18" s="80" t="str">
        <x:v>신규 · 행동 5~9회 혼합 구간</x:v>
      </x:c>
      <x:c r="E18" s="80" t="str">
        <x:v>신규</x:v>
      </x:c>
      <x:c r="F18" s="80" t="n">
        <x:v>2</x:v>
      </x:c>
      <x:c r="G18" s="92" t="str">
        <x:v>완료 시제와 수동태 오류 줄이기</x:v>
      </x:c>
      <x:c r="H18" s="92" t="str">
        <x:v>시제 · 수동태 · 문법</x:v>
      </x:c>
      <x:c r="I18" s="92" t="str">
        <x:v>있음</x:v>
      </x:c>
      <x:c r="J18" s="92" t="str">
        <x:v>심화 문제 → 퀴즈</x:v>
      </x:c>
      <x:c r="K18" s="92" t="str">
        <x:v>퀴즈 100% · 심화 문제 100%</x:v>
      </x:c>
      <x:c r="L18" s="80" t="n">
        <x:v>18.5</x:v>
      </x:c>
      <x:c r="M18" s="80" t="str">
        <x:v>content-10</x:v>
      </x:c>
      <x:c r="N18" s="96" t="str">
        <x:v>과거완료 오답 교정</x:v>
      </x:c>
      <x:c r="O18" s="96" t="str">
        <x:v>퀴즈</x:v>
      </x:c>
      <x:c r="P18" s="96" t="n">
        <x:v>2</x:v>
      </x:c>
      <x:c r="Q18" s="96" t="n">
        <x:v>9</x:v>
      </x:c>
      <x:c r="R18" s="92" t="str">
        <x:v>과거완료 자주 틀리는 유형을 교정</x:v>
      </x:c>
      <x:c r="S18" s="92" t="str">
        <x:v>시제 · 문법</x:v>
      </x:c>
      <x:c r="T18" s="97" t="str">
        <x:v>직접 일치</x:v>
      </x:c>
      <x:c r="U18" s="86" t="n">
        <x:v>35</x:v>
      </x:c>
      <x:c r="V18" s="86" t="str">
        <x:v>적합</x:v>
      </x:c>
      <x:c r="W18" s="86" t="n">
        <x:v>22</x:v>
      </x:c>
      <x:c r="X18" s="86" t="str">
        <x:v>매우 적합</x:v>
      </x:c>
      <x:c r="Y18" s="86" t="n">
        <x:v>20</x:v>
      </x:c>
      <x:c r="Z18" s="86" t="str">
        <x:v>정확히 일치</x:v>
      </x:c>
      <x:c r="AA18" s="86" t="n">
        <x:v>20</x:v>
      </x:c>
      <x:c r="AB18" s="86" t="n">
        <x:f>35+IF(W18="",0,25)+IF(Y18="",0,20)+20</x:f>
        <x:v>100</x:v>
      </x:c>
      <x:c r="AC18" s="104" t="n">
        <x:f>ROUND((U18+IF(W18="",0,W18)+IF(Y18="",0,Y18)+AA18)/AB18*100,1)</x:f>
        <x:v>97</x:v>
      </x:c>
      <x:c r="AD18" s="86" t="str">
        <x:f>IF(AC18&gt;=80,"high",IF(AC18&gt;=50,"medium","low"))</x:f>
        <x:v>high</x:v>
      </x:c>
      <x:c r="AE18" s="89" t="str">
        <x:v>high</x:v>
      </x:c>
      <x:c r="AF18" s="101" t="str">
        <x:v>루브릭 일치</x:v>
      </x:c>
      <x:c r="AG18" s="101" t="str">
        <x:v>목표: 시제 목표가 콘텐츠 학습 목표와 직접 일치 (35/35); 유형: 2순위 선호 유형 (22/25); 시간: 9분이 평균 18.5분 이내 (20/20); 수준: 사용자 레벨 2과 난이도 2가 일치 (20/20). 적용 항목 재환산 97점으로 판단했으며 최종 라벨은 high.</x:v>
      </x:c>
      <x:c r="AH18" s="101" t="str">
        <x:v>일반</x:v>
      </x:c>
      <x:c r="AI18" s="101" t="str">
        <x:v>Codex 초안</x:v>
      </x:c>
      <x:c r="AJ18" s="101" t="str"/>
    </x:row>
    <x:row r="19" ht="52" customHeight="1">
      <x:c r="A19" s="80" t="str">
        <x:v>user-02__content-16</x:v>
      </x:c>
      <x:c r="B19" s="80" t="str">
        <x:v>user-02</x:v>
      </x:c>
      <x:c r="C19" s="80" t="str">
        <x:v>혼합 전환형</x:v>
      </x:c>
      <x:c r="D19" s="80" t="str">
        <x:v>신규 · 행동 5~9회 혼합 구간</x:v>
      </x:c>
      <x:c r="E19" s="80" t="str">
        <x:v>신규</x:v>
      </x:c>
      <x:c r="F19" s="80" t="n">
        <x:v>2</x:v>
      </x:c>
      <x:c r="G19" s="92" t="str">
        <x:v>완료 시제와 수동태 오류 줄이기</x:v>
      </x:c>
      <x:c r="H19" s="92" t="str">
        <x:v>시제 · 수동태 · 문법</x:v>
      </x:c>
      <x:c r="I19" s="92" t="str">
        <x:v>있음</x:v>
      </x:c>
      <x:c r="J19" s="92" t="str">
        <x:v>심화 문제 → 퀴즈</x:v>
      </x:c>
      <x:c r="K19" s="92" t="str">
        <x:v>퀴즈 100% · 심화 문제 100%</x:v>
      </x:c>
      <x:c r="L19" s="80" t="n">
        <x:v>18.5</x:v>
      </x:c>
      <x:c r="M19" s="80" t="str">
        <x:v>content-16</x:v>
      </x:c>
      <x:c r="N19" s="96" t="str">
        <x:v>수동태 핵심 퀴즈</x:v>
      </x:c>
      <x:c r="O19" s="96" t="str">
        <x:v>퀴즈</x:v>
      </x:c>
      <x:c r="P19" s="96" t="n">
        <x:v>1</x:v>
      </x:c>
      <x:c r="Q19" s="96" t="n">
        <x:v>6</x:v>
      </x:c>
      <x:c r="R19" s="92" t="str">
        <x:v>수동태 핵심 규칙을 빠르게 확인</x:v>
      </x:c>
      <x:c r="S19" s="92" t="str">
        <x:v>수동태 · 문법</x:v>
      </x:c>
      <x:c r="T19" s="97" t="str">
        <x:v>직접 일치</x:v>
      </x:c>
      <x:c r="U19" s="86" t="n">
        <x:v>35</x:v>
      </x:c>
      <x:c r="V19" s="86" t="str">
        <x:v>적합</x:v>
      </x:c>
      <x:c r="W19" s="86" t="n">
        <x:v>22</x:v>
      </x:c>
      <x:c r="X19" s="86" t="str">
        <x:v>매우 적합</x:v>
      </x:c>
      <x:c r="Y19" s="86" t="n">
        <x:v>20</x:v>
      </x:c>
      <x:c r="Z19" s="86" t="str">
        <x:v>허용 범위</x:v>
      </x:c>
      <x:c r="AA19" s="86" t="n">
        <x:v>14</x:v>
      </x:c>
      <x:c r="AB19" s="86" t="n">
        <x:f>35+IF(W19="",0,25)+IF(Y19="",0,20)+20</x:f>
        <x:v>100</x:v>
      </x:c>
      <x:c r="AC19" s="104" t="n">
        <x:f>ROUND((U19+IF(W19="",0,W19)+IF(Y19="",0,Y19)+AA19)/AB19*100,1)</x:f>
        <x:v>91</x:v>
      </x:c>
      <x:c r="AD19" s="86" t="str">
        <x:f>IF(AC19&gt;=80,"high",IF(AC19&gt;=50,"medium","low"))</x:f>
        <x:v>high</x:v>
      </x:c>
      <x:c r="AE19" s="89" t="str">
        <x:v>high</x:v>
      </x:c>
      <x:c r="AF19" s="101" t="str">
        <x:v>루브릭 일치</x:v>
      </x:c>
      <x:c r="AG19" s="101" t="str">
        <x:v>목표: 수동태 목표가 콘텐츠 학습 목표와 직접 일치 (35/35); 유형: 2순위 선호 유형 (22/25); 시간: 6분이 평균 18.5분 이내 (20/20); 수준: 사용자 레벨과 난이도 차이가 1단계 (14/20). 적용 항목 재환산 91점으로 판단했으며 최종 라벨은 high.</x:v>
      </x:c>
      <x:c r="AH19" s="101" t="str">
        <x:v>우선 검토</x:v>
      </x:c>
      <x:c r="AI19" s="101" t="str">
        <x:v>Codex 초안</x:v>
      </x:c>
      <x:c r="AJ19" s="101" t="str"/>
    </x:row>
    <x:row r="20" ht="52" customHeight="1">
      <x:c r="A20" s="80" t="str">
        <x:v>user-02__content-17</x:v>
      </x:c>
      <x:c r="B20" s="80" t="str">
        <x:v>user-02</x:v>
      </x:c>
      <x:c r="C20" s="80" t="str">
        <x:v>혼합 전환형</x:v>
      </x:c>
      <x:c r="D20" s="80" t="str">
        <x:v>신규 · 행동 5~9회 혼합 구간</x:v>
      </x:c>
      <x:c r="E20" s="80" t="str">
        <x:v>신규</x:v>
      </x:c>
      <x:c r="F20" s="80" t="n">
        <x:v>2</x:v>
      </x:c>
      <x:c r="G20" s="92" t="str">
        <x:v>완료 시제와 수동태 오류 줄이기</x:v>
      </x:c>
      <x:c r="H20" s="92" t="str">
        <x:v>시제 · 수동태 · 문법</x:v>
      </x:c>
      <x:c r="I20" s="92" t="str">
        <x:v>있음</x:v>
      </x:c>
      <x:c r="J20" s="92" t="str">
        <x:v>심화 문제 → 퀴즈</x:v>
      </x:c>
      <x:c r="K20" s="92" t="str">
        <x:v>퀴즈 100% · 심화 문제 100%</x:v>
      </x:c>
      <x:c r="L20" s="80" t="n">
        <x:v>18.5</x:v>
      </x:c>
      <x:c r="M20" s="80" t="str">
        <x:v>content-17</x:v>
      </x:c>
      <x:c r="N20" s="96" t="str">
        <x:v>수동태 개념 강의</x:v>
      </x:c>
      <x:c r="O20" s="96" t="str">
        <x:v>영상 강의</x:v>
      </x:c>
      <x:c r="P20" s="96" t="n">
        <x:v>2</x:v>
      </x:c>
      <x:c r="Q20" s="96" t="n">
        <x:v>18</x:v>
      </x:c>
      <x:c r="R20" s="92" t="str">
        <x:v>수동태 대표 쓰임과 오류를 이해</x:v>
      </x:c>
      <x:c r="S20" s="92" t="str">
        <x:v>수동태 · 문법</x:v>
      </x:c>
      <x:c r="T20" s="97" t="str">
        <x:v>직접 일치</x:v>
      </x:c>
      <x:c r="U20" s="86" t="n">
        <x:v>35</x:v>
      </x:c>
      <x:c r="V20" s="86" t="str">
        <x:v>N/A</x:v>
      </x:c>
      <x:c r="W20" s="86"/>
      <x:c r="X20" s="86" t="str">
        <x:v>매우 적합</x:v>
      </x:c>
      <x:c r="Y20" s="86" t="n">
        <x:v>20</x:v>
      </x:c>
      <x:c r="Z20" s="86" t="str">
        <x:v>정확히 일치</x:v>
      </x:c>
      <x:c r="AA20" s="86" t="n">
        <x:v>20</x:v>
      </x:c>
      <x:c r="AB20" s="86" t="n">
        <x:f>35+IF(W20="",0,25)+IF(Y20="",0,20)+20</x:f>
        <x:v>75</x:v>
      </x:c>
      <x:c r="AC20" s="104" t="n">
        <x:f>ROUND((U20+IF(W20="",0,W20)+IF(Y20="",0,Y20)+AA20)/AB20*100,1)</x:f>
        <x:v>100</x:v>
      </x:c>
      <x:c r="AD20" s="86" t="str">
        <x:f>IF(AC20&gt;=80,"high",IF(AC20&gt;=50,"medium","low"))</x:f>
        <x:v>high</x:v>
      </x:c>
      <x:c r="AE20" s="89" t="str">
        <x:v>high</x:v>
      </x:c>
      <x:c r="AF20" s="101" t="str">
        <x:v>루브릭 일치</x:v>
      </x:c>
      <x:c r="AG20" s="101" t="str">
        <x:v>목표: 수동태 목표가 콘텐츠 학습 목표와 직접 일치 (35/35); 유형: 해당 유형 관찰 이력이 없어 비선호로 추측하지 않고 제외; 시간: 18분이 평균 18.5분 이내 (20/20); 수준: 사용자 레벨 2과 난이도 2가 일치 (20/20). 적용 항목 재환산 100점으로 판단했으며 최종 라벨은 high.</x:v>
      </x:c>
      <x:c r="AH20" s="101" t="str">
        <x:v>우선 검토</x:v>
      </x:c>
      <x:c r="AI20" s="101" t="str">
        <x:v>Codex 초안</x:v>
      </x:c>
      <x:c r="AJ20" s="101" t="str"/>
    </x:row>
    <x:row r="21" ht="52" customHeight="1">
      <x:c r="A21" s="80" t="str">
        <x:v>user-02__content-18</x:v>
      </x:c>
      <x:c r="B21" s="80" t="str">
        <x:v>user-02</x:v>
      </x:c>
      <x:c r="C21" s="80" t="str">
        <x:v>혼합 전환형</x:v>
      </x:c>
      <x:c r="D21" s="80" t="str">
        <x:v>신규 · 행동 5~9회 혼합 구간</x:v>
      </x:c>
      <x:c r="E21" s="80" t="str">
        <x:v>신규</x:v>
      </x:c>
      <x:c r="F21" s="80" t="n">
        <x:v>2</x:v>
      </x:c>
      <x:c r="G21" s="92" t="str">
        <x:v>완료 시제와 수동태 오류 줄이기</x:v>
      </x:c>
      <x:c r="H21" s="92" t="str">
        <x:v>시제 · 수동태 · 문법</x:v>
      </x:c>
      <x:c r="I21" s="92" t="str">
        <x:v>있음</x:v>
      </x:c>
      <x:c r="J21" s="92" t="str">
        <x:v>심화 문제 → 퀴즈</x:v>
      </x:c>
      <x:c r="K21" s="92" t="str">
        <x:v>퀴즈 100% · 심화 문제 100%</x:v>
      </x:c>
      <x:c r="L21" s="80" t="n">
        <x:v>18.5</x:v>
      </x:c>
      <x:c r="M21" s="80" t="str">
        <x:v>content-18</x:v>
      </x:c>
      <x:c r="N21" s="96" t="str">
        <x:v>수동태 예문 읽기</x:v>
      </x:c>
      <x:c r="O21" s="96" t="str">
        <x:v>예문 읽기</x:v>
      </x:c>
      <x:c r="P21" s="96" t="n">
        <x:v>2</x:v>
      </x:c>
      <x:c r="Q21" s="96" t="n">
        <x:v>12</x:v>
      </x:c>
      <x:c r="R21" s="92" t="str">
        <x:v>수동태 문맥 속 쓰임을 구별</x:v>
      </x:c>
      <x:c r="S21" s="92" t="str">
        <x:v>수동태 · 문법</x:v>
      </x:c>
      <x:c r="T21" s="97" t="str">
        <x:v>직접 일치</x:v>
      </x:c>
      <x:c r="U21" s="86" t="n">
        <x:v>35</x:v>
      </x:c>
      <x:c r="V21" s="86" t="str">
        <x:v>N/A</x:v>
      </x:c>
      <x:c r="W21" s="86"/>
      <x:c r="X21" s="86" t="str">
        <x:v>매우 적합</x:v>
      </x:c>
      <x:c r="Y21" s="86" t="n">
        <x:v>20</x:v>
      </x:c>
      <x:c r="Z21" s="86" t="str">
        <x:v>정확히 일치</x:v>
      </x:c>
      <x:c r="AA21" s="86" t="n">
        <x:v>20</x:v>
      </x:c>
      <x:c r="AB21" s="86" t="n">
        <x:f>35+IF(W21="",0,25)+IF(Y21="",0,20)+20</x:f>
        <x:v>75</x:v>
      </x:c>
      <x:c r="AC21" s="104" t="n">
        <x:f>ROUND((U21+IF(W21="",0,W21)+IF(Y21="",0,Y21)+AA21)/AB21*100,1)</x:f>
        <x:v>100</x:v>
      </x:c>
      <x:c r="AD21" s="86" t="str">
        <x:f>IF(AC21&gt;=80,"high",IF(AC21&gt;=50,"medium","low"))</x:f>
        <x:v>high</x:v>
      </x:c>
      <x:c r="AE21" s="89" t="str">
        <x:v>high</x:v>
      </x:c>
      <x:c r="AF21" s="101" t="str">
        <x:v>루브릭 일치</x:v>
      </x:c>
      <x:c r="AG21" s="101" t="str">
        <x:v>목표: 수동태 목표가 콘텐츠 학습 목표와 직접 일치 (35/35); 유형: 해당 유형 관찰 이력이 없어 비선호로 추측하지 않고 제외; 시간: 12분이 평균 18.5분 이내 (20/20); 수준: 사용자 레벨 2과 난이도 2가 일치 (20/20). 적용 항목 재환산 100점으로 판단했으며 최종 라벨은 high.</x:v>
      </x:c>
      <x:c r="AH21" s="101" t="str">
        <x:v>우선 검토</x:v>
      </x:c>
      <x:c r="AI21" s="101" t="str">
        <x:v>Codex 초안</x:v>
      </x:c>
      <x:c r="AJ21" s="101" t="str"/>
    </x:row>
    <x:row r="22" ht="52" customHeight="1">
      <x:c r="A22" s="80" t="str">
        <x:v>user-02__content-20</x:v>
      </x:c>
      <x:c r="B22" s="80" t="str">
        <x:v>user-02</x:v>
      </x:c>
      <x:c r="C22" s="80" t="str">
        <x:v>혼합 전환형</x:v>
      </x:c>
      <x:c r="D22" s="80" t="str">
        <x:v>신규 · 행동 5~9회 혼합 구간</x:v>
      </x:c>
      <x:c r="E22" s="80" t="str">
        <x:v>신규</x:v>
      </x:c>
      <x:c r="F22" s="80" t="n">
        <x:v>2</x:v>
      </x:c>
      <x:c r="G22" s="92" t="str">
        <x:v>완료 시제와 수동태 오류 줄이기</x:v>
      </x:c>
      <x:c r="H22" s="92" t="str">
        <x:v>시제 · 수동태 · 문법</x:v>
      </x:c>
      <x:c r="I22" s="92" t="str">
        <x:v>있음</x:v>
      </x:c>
      <x:c r="J22" s="92" t="str">
        <x:v>심화 문제 → 퀴즈</x:v>
      </x:c>
      <x:c r="K22" s="92" t="str">
        <x:v>퀴즈 100% · 심화 문제 100%</x:v>
      </x:c>
      <x:c r="L22" s="80" t="n">
        <x:v>18.5</x:v>
      </x:c>
      <x:c r="M22" s="80" t="str">
        <x:v>content-20</x:v>
      </x:c>
      <x:c r="N22" s="96" t="str">
        <x:v>수동태 오답 교정</x:v>
      </x:c>
      <x:c r="O22" s="96" t="str">
        <x:v>퀴즈</x:v>
      </x:c>
      <x:c r="P22" s="96" t="n">
        <x:v>2</x:v>
      </x:c>
      <x:c r="Q22" s="96" t="n">
        <x:v>9</x:v>
      </x:c>
      <x:c r="R22" s="92" t="str">
        <x:v>수동태 자주 틀리는 유형을 교정</x:v>
      </x:c>
      <x:c r="S22" s="92" t="str">
        <x:v>수동태 · 문법</x:v>
      </x:c>
      <x:c r="T22" s="97" t="str">
        <x:v>직접 일치</x:v>
      </x:c>
      <x:c r="U22" s="86" t="n">
        <x:v>35</x:v>
      </x:c>
      <x:c r="V22" s="86" t="str">
        <x:v>적합</x:v>
      </x:c>
      <x:c r="W22" s="86" t="n">
        <x:v>22</x:v>
      </x:c>
      <x:c r="X22" s="86" t="str">
        <x:v>매우 적합</x:v>
      </x:c>
      <x:c r="Y22" s="86" t="n">
        <x:v>20</x:v>
      </x:c>
      <x:c r="Z22" s="86" t="str">
        <x:v>정확히 일치</x:v>
      </x:c>
      <x:c r="AA22" s="86" t="n">
        <x:v>20</x:v>
      </x:c>
      <x:c r="AB22" s="86" t="n">
        <x:f>35+IF(W22="",0,25)+IF(Y22="",0,20)+20</x:f>
        <x:v>100</x:v>
      </x:c>
      <x:c r="AC22" s="104" t="n">
        <x:f>ROUND((U22+IF(W22="",0,W22)+IF(Y22="",0,Y22)+AA22)/AB22*100,1)</x:f>
        <x:v>97</x:v>
      </x:c>
      <x:c r="AD22" s="86" t="str">
        <x:f>IF(AC22&gt;=80,"high",IF(AC22&gt;=50,"medium","low"))</x:f>
        <x:v>high</x:v>
      </x:c>
      <x:c r="AE22" s="89" t="str">
        <x:v>high</x:v>
      </x:c>
      <x:c r="AF22" s="101" t="str">
        <x:v>루브릭 일치</x:v>
      </x:c>
      <x:c r="AG22" s="101" t="str">
        <x:v>목표: 수동태 목표가 콘텐츠 학습 목표와 직접 일치 (35/35); 유형: 2순위 선호 유형 (22/25); 시간: 9분이 평균 18.5분 이내 (20/20); 수준: 사용자 레벨 2과 난이도 2가 일치 (20/20). 적용 항목 재환산 97점으로 판단했으며 최종 라벨은 high.</x:v>
      </x:c>
      <x:c r="AH22" s="101" t="str">
        <x:v>우선 검토</x:v>
      </x:c>
      <x:c r="AI22" s="101" t="str">
        <x:v>Codex 초안</x:v>
      </x:c>
      <x:c r="AJ22" s="101" t="str"/>
    </x:row>
    <x:row r="23" ht="52" customHeight="1">
      <x:c r="A23" s="80" t="str">
        <x:v>user-02__content-26</x:v>
      </x:c>
      <x:c r="B23" s="80" t="str">
        <x:v>user-02</x:v>
      </x:c>
      <x:c r="C23" s="80" t="str">
        <x:v>혼합 전환형</x:v>
      </x:c>
      <x:c r="D23" s="80" t="str">
        <x:v>신규 · 행동 5~9회 혼합 구간</x:v>
      </x:c>
      <x:c r="E23" s="80" t="str">
        <x:v>신규</x:v>
      </x:c>
      <x:c r="F23" s="80" t="n">
        <x:v>2</x:v>
      </x:c>
      <x:c r="G23" s="92" t="str">
        <x:v>완료 시제와 수동태 오류 줄이기</x:v>
      </x:c>
      <x:c r="H23" s="92" t="str">
        <x:v>시제 · 수동태 · 문법</x:v>
      </x:c>
      <x:c r="I23" s="92" t="str">
        <x:v>있음</x:v>
      </x:c>
      <x:c r="J23" s="92" t="str">
        <x:v>심화 문제 → 퀴즈</x:v>
      </x:c>
      <x:c r="K23" s="92" t="str">
        <x:v>퀴즈 100% · 심화 문제 100%</x:v>
      </x:c>
      <x:c r="L23" s="80" t="n">
        <x:v>18.5</x:v>
      </x:c>
      <x:c r="M23" s="80" t="str">
        <x:v>content-26</x:v>
      </x:c>
      <x:c r="N23" s="96" t="str">
        <x:v>가정법 핵심 퀴즈</x:v>
      </x:c>
      <x:c r="O23" s="96" t="str">
        <x:v>퀴즈</x:v>
      </x:c>
      <x:c r="P23" s="96" t="n">
        <x:v>1</x:v>
      </x:c>
      <x:c r="Q23" s="96" t="n">
        <x:v>6</x:v>
      </x:c>
      <x:c r="R23" s="92" t="str">
        <x:v>가정법 핵심 규칙을 빠르게 확인</x:v>
      </x:c>
      <x:c r="S23" s="92" t="str">
        <x:v>가정법 · 문법</x:v>
      </x:c>
      <x:c r="T23" s="97" t="str">
        <x:v>인접 영역</x:v>
      </x:c>
      <x:c r="U23" s="86" t="n">
        <x:v>18</x:v>
      </x:c>
      <x:c r="V23" s="86" t="str">
        <x:v>적합</x:v>
      </x:c>
      <x:c r="W23" s="86" t="n">
        <x:v>22</x:v>
      </x:c>
      <x:c r="X23" s="86" t="str">
        <x:v>매우 적합</x:v>
      </x:c>
      <x:c r="Y23" s="86" t="n">
        <x:v>20</x:v>
      </x:c>
      <x:c r="Z23" s="86" t="str">
        <x:v>허용 범위</x:v>
      </x:c>
      <x:c r="AA23" s="86" t="n">
        <x:v>14</x:v>
      </x:c>
      <x:c r="AB23" s="86" t="n">
        <x:f>35+IF(W23="",0,25)+IF(Y23="",0,20)+20</x:f>
        <x:v>100</x:v>
      </x:c>
      <x:c r="AC23" s="104" t="n">
        <x:f>ROUND((U23+IF(W23="",0,W23)+IF(Y23="",0,Y23)+AA23)/AB23*100,1)</x:f>
        <x:v>74</x:v>
      </x:c>
      <x:c r="AD23" s="86" t="str">
        <x:f>IF(AC23&gt;=80,"high",IF(AC23&gt;=50,"medium","low"))</x:f>
        <x:v>medium</x:v>
      </x:c>
      <x:c r="AE23" s="89" t="str">
        <x:v>medium</x:v>
      </x:c>
      <x:c r="AF23" s="101" t="str">
        <x:v>루브릭 일치</x:v>
      </x:c>
      <x:c r="AG23" s="101" t="str">
        <x:v>목표: 일반 문법 영역은 겹치지만 사용자가 명시한 세부 목표와는 다름 (18/35); 유형: 2순위 선호 유형 (22/25); 시간: 6분이 평균 18.5분 이내 (20/20); 수준: 사용자 레벨과 난이도 차이가 1단계 (14/20). 적용 항목 재환산 74점으로 판단했으며 최종 라벨은 medium.</x:v>
      </x:c>
      <x:c r="AH23" s="101" t="str">
        <x:v>우선 검토</x:v>
      </x:c>
      <x:c r="AI23" s="101" t="str">
        <x:v>Codex 초안</x:v>
      </x:c>
      <x:c r="AJ23" s="101" t="str"/>
    </x:row>
    <x:row r="24" ht="52" customHeight="1">
      <x:c r="A24" s="80" t="str">
        <x:v>user-02__content-27</x:v>
      </x:c>
      <x:c r="B24" s="80" t="str">
        <x:v>user-02</x:v>
      </x:c>
      <x:c r="C24" s="80" t="str">
        <x:v>혼합 전환형</x:v>
      </x:c>
      <x:c r="D24" s="80" t="str">
        <x:v>신규 · 행동 5~9회 혼합 구간</x:v>
      </x:c>
      <x:c r="E24" s="80" t="str">
        <x:v>신규</x:v>
      </x:c>
      <x:c r="F24" s="80" t="n">
        <x:v>2</x:v>
      </x:c>
      <x:c r="G24" s="92" t="str">
        <x:v>완료 시제와 수동태 오류 줄이기</x:v>
      </x:c>
      <x:c r="H24" s="92" t="str">
        <x:v>시제 · 수동태 · 문법</x:v>
      </x:c>
      <x:c r="I24" s="92" t="str">
        <x:v>있음</x:v>
      </x:c>
      <x:c r="J24" s="92" t="str">
        <x:v>심화 문제 → 퀴즈</x:v>
      </x:c>
      <x:c r="K24" s="92" t="str">
        <x:v>퀴즈 100% · 심화 문제 100%</x:v>
      </x:c>
      <x:c r="L24" s="80" t="n">
        <x:v>18.5</x:v>
      </x:c>
      <x:c r="M24" s="80" t="str">
        <x:v>content-27</x:v>
      </x:c>
      <x:c r="N24" s="96" t="str">
        <x:v>가정법 개념 강의</x:v>
      </x:c>
      <x:c r="O24" s="96" t="str">
        <x:v>영상 강의</x:v>
      </x:c>
      <x:c r="P24" s="96" t="n">
        <x:v>2</x:v>
      </x:c>
      <x:c r="Q24" s="96" t="n">
        <x:v>18</x:v>
      </x:c>
      <x:c r="R24" s="92" t="str">
        <x:v>가정법 대표 쓰임과 오류를 이해</x:v>
      </x:c>
      <x:c r="S24" s="92" t="str">
        <x:v>가정법 · 문법</x:v>
      </x:c>
      <x:c r="T24" s="97" t="str">
        <x:v>인접 영역</x:v>
      </x:c>
      <x:c r="U24" s="86" t="n">
        <x:v>18</x:v>
      </x:c>
      <x:c r="V24" s="86" t="str">
        <x:v>N/A</x:v>
      </x:c>
      <x:c r="W24" s="86"/>
      <x:c r="X24" s="86" t="str">
        <x:v>매우 적합</x:v>
      </x:c>
      <x:c r="Y24" s="86" t="n">
        <x:v>20</x:v>
      </x:c>
      <x:c r="Z24" s="86" t="str">
        <x:v>정확히 일치</x:v>
      </x:c>
      <x:c r="AA24" s="86" t="n">
        <x:v>20</x:v>
      </x:c>
      <x:c r="AB24" s="86" t="n">
        <x:f>35+IF(W24="",0,25)+IF(Y24="",0,20)+20</x:f>
        <x:v>75</x:v>
      </x:c>
      <x:c r="AC24" s="104" t="n">
        <x:f>ROUND((U24+IF(W24="",0,W24)+IF(Y24="",0,Y24)+AA24)/AB24*100,1)</x:f>
        <x:v>77.3</x:v>
      </x:c>
      <x:c r="AD24" s="86" t="str">
        <x:f>IF(AC24&gt;=80,"high",IF(AC24&gt;=50,"medium","low"))</x:f>
        <x:v>medium</x:v>
      </x:c>
      <x:c r="AE24" s="89" t="str">
        <x:v>medium</x:v>
      </x:c>
      <x:c r="AF24" s="101" t="str">
        <x:v>루브릭 일치</x:v>
      </x:c>
      <x:c r="AG24" s="101" t="str">
        <x:v>목표: 일반 문법 영역은 겹치지만 사용자가 명시한 세부 목표와는 다름 (18/35); 유형: 해당 유형 관찰 이력이 없어 비선호로 추측하지 않고 제외; 시간: 18분이 평균 18.5분 이내 (20/20); 수준: 사용자 레벨 2과 난이도 2가 일치 (20/20). 적용 항목 재환산 77.3점으로 판단했으며 최종 라벨은 medium.</x:v>
      </x:c>
      <x:c r="AH24" s="101" t="str">
        <x:v>우선 검토</x:v>
      </x:c>
      <x:c r="AI24" s="101" t="str">
        <x:v>Codex 초안</x:v>
      </x:c>
      <x:c r="AJ24" s="101" t="str"/>
    </x:row>
    <x:row r="25" ht="52" customHeight="1">
      <x:c r="A25" s="80" t="str">
        <x:v>user-03__content-31</x:v>
      </x:c>
      <x:c r="B25" s="80" t="str">
        <x:v>user-03</x:v>
      </x:c>
      <x:c r="C25" s="80" t="str">
        <x:v>행동 중심형</x:v>
      </x:c>
      <x:c r="D25" s="80" t="str">
        <x:v>신규 · 10회 이상 행동 중심</x:v>
      </x:c>
      <x:c r="E25" s="80" t="str">
        <x:v>신규</x:v>
      </x:c>
      <x:c r="F25" s="80" t="n">
        <x:v>2</x:v>
      </x:c>
      <x:c r="G25" s="92" t="str">
        <x:v>문맥 어휘와 독해 추론 강화</x:v>
      </x:c>
      <x:c r="H25" s="92" t="str">
        <x:v>문맥 어휘 · 독해 추론 · 독해</x:v>
      </x:c>
      <x:c r="I25" s="92" t="str">
        <x:v>있음</x:v>
      </x:c>
      <x:c r="J25" s="92" t="str">
        <x:v>예문 읽기 → 영상 강의</x:v>
      </x:c>
      <x:c r="K25" s="92" t="str">
        <x:v>영상 강의 100% · 예문 읽기 83%</x:v>
      </x:c>
      <x:c r="L25" s="80" t="n">
        <x:v>13.6</x:v>
      </x:c>
      <x:c r="M25" s="80" t="str">
        <x:v>content-31</x:v>
      </x:c>
      <x:c r="N25" s="96" t="str">
        <x:v>문맥 어휘 핵심 퀴즈</x:v>
      </x:c>
      <x:c r="O25" s="96" t="str">
        <x:v>퀴즈</x:v>
      </x:c>
      <x:c r="P25" s="96" t="n">
        <x:v>1</x:v>
      </x:c>
      <x:c r="Q25" s="96" t="n">
        <x:v>6</x:v>
      </x:c>
      <x:c r="R25" s="92" t="str">
        <x:v>문맥 어휘 핵심 규칙을 빠르게 확인</x:v>
      </x:c>
      <x:c r="S25" s="92" t="str">
        <x:v>문맥 어휘 · 독해</x:v>
      </x:c>
      <x:c r="T25" s="97" t="str">
        <x:v>직접 일치</x:v>
      </x:c>
      <x:c r="U25" s="86" t="n">
        <x:v>35</x:v>
      </x:c>
      <x:c r="V25" s="86" t="str">
        <x:v>N/A</x:v>
      </x:c>
      <x:c r="W25" s="86"/>
      <x:c r="X25" s="86" t="str">
        <x:v>매우 적합</x:v>
      </x:c>
      <x:c r="Y25" s="86" t="n">
        <x:v>20</x:v>
      </x:c>
      <x:c r="Z25" s="86" t="str">
        <x:v>허용 범위</x:v>
      </x:c>
      <x:c r="AA25" s="86" t="n">
        <x:v>14</x:v>
      </x:c>
      <x:c r="AB25" s="86" t="n">
        <x:f>35+IF(W25="",0,25)+IF(Y25="",0,20)+20</x:f>
        <x:v>75</x:v>
      </x:c>
      <x:c r="AC25" s="104" t="n">
        <x:f>ROUND((U25+IF(W25="",0,W25)+IF(Y25="",0,Y25)+AA25)/AB25*100,1)</x:f>
        <x:v>92</x:v>
      </x:c>
      <x:c r="AD25" s="86" t="str">
        <x:f>IF(AC25&gt;=80,"high",IF(AC25&gt;=50,"medium","low"))</x:f>
        <x:v>high</x:v>
      </x:c>
      <x:c r="AE25" s="89" t="str">
        <x:v>medium</x:v>
      </x:c>
      <x:c r="AF25" s="101" t="str">
        <x:v>high → medium 정성 조정</x:v>
      </x:c>
      <x:c r="AG25" s="101" t="str">
        <x:v>목표: 문맥 어휘 · 독해 목표가 콘텐츠 학습 목표와 직접 일치 (35/35); 유형: 해당 유형 관찰 이력이 없어 비선호로 추측하지 않고 제외; 시간: 6분이 평균 13.6분 이내 (20/20); 수준: 사용자 레벨과 난이도 차이가 1단계 (14/20). 적용 항목 재환산 92점으로 판단했으며 최종 라벨은 medium.</x:v>
      </x:c>
      <x:c r="AH25" s="101" t="str">
        <x:v>우선 검토</x:v>
      </x:c>
      <x:c r="AI25" s="101" t="str">
        <x:v>Codex 초안</x:v>
      </x:c>
      <x:c r="AJ25" s="101" t="str"/>
    </x:row>
    <x:row r="26" ht="52" customHeight="1">
      <x:c r="A26" s="80" t="str">
        <x:v>user-03__content-32</x:v>
      </x:c>
      <x:c r="B26" s="80" t="str">
        <x:v>user-03</x:v>
      </x:c>
      <x:c r="C26" s="80" t="str">
        <x:v>행동 중심형</x:v>
      </x:c>
      <x:c r="D26" s="80" t="str">
        <x:v>신규 · 10회 이상 행동 중심</x:v>
      </x:c>
      <x:c r="E26" s="80" t="str">
        <x:v>신규</x:v>
      </x:c>
      <x:c r="F26" s="80" t="n">
        <x:v>2</x:v>
      </x:c>
      <x:c r="G26" s="92" t="str">
        <x:v>문맥 어휘와 독해 추론 강화</x:v>
      </x:c>
      <x:c r="H26" s="92" t="str">
        <x:v>문맥 어휘 · 독해 추론 · 독해</x:v>
      </x:c>
      <x:c r="I26" s="92" t="str">
        <x:v>있음</x:v>
      </x:c>
      <x:c r="J26" s="92" t="str">
        <x:v>예문 읽기 → 영상 강의</x:v>
      </x:c>
      <x:c r="K26" s="92" t="str">
        <x:v>영상 강의 100% · 예문 읽기 83%</x:v>
      </x:c>
      <x:c r="L26" s="80" t="n">
        <x:v>13.6</x:v>
      </x:c>
      <x:c r="M26" s="80" t="str">
        <x:v>content-32</x:v>
      </x:c>
      <x:c r="N26" s="96" t="str">
        <x:v>문맥 어휘 개념 강의</x:v>
      </x:c>
      <x:c r="O26" s="96" t="str">
        <x:v>영상 강의</x:v>
      </x:c>
      <x:c r="P26" s="96" t="n">
        <x:v>2</x:v>
      </x:c>
      <x:c r="Q26" s="96" t="n">
        <x:v>18</x:v>
      </x:c>
      <x:c r="R26" s="92" t="str">
        <x:v>문맥 어휘 대표 쓰임과 오류를 이해</x:v>
      </x:c>
      <x:c r="S26" s="92" t="str">
        <x:v>문맥 어휘 · 독해</x:v>
      </x:c>
      <x:c r="T26" s="97" t="str">
        <x:v>직접 일치</x:v>
      </x:c>
      <x:c r="U26" s="86" t="n">
        <x:v>35</x:v>
      </x:c>
      <x:c r="V26" s="86" t="str">
        <x:v>적합</x:v>
      </x:c>
      <x:c r="W26" s="86" t="n">
        <x:v>22</x:v>
      </x:c>
      <x:c r="X26" s="86" t="str">
        <x:v>보통</x:v>
      </x:c>
      <x:c r="Y26" s="86" t="n">
        <x:v>10</x:v>
      </x:c>
      <x:c r="Z26" s="86" t="str">
        <x:v>정확히 일치</x:v>
      </x:c>
      <x:c r="AA26" s="86" t="n">
        <x:v>20</x:v>
      </x:c>
      <x:c r="AB26" s="86" t="n">
        <x:f>35+IF(W26="",0,25)+IF(Y26="",0,20)+20</x:f>
        <x:v>100</x:v>
      </x:c>
      <x:c r="AC26" s="104" t="n">
        <x:f>ROUND((U26+IF(W26="",0,W26)+IF(Y26="",0,Y26)+AA26)/AB26*100,1)</x:f>
        <x:v>87</x:v>
      </x:c>
      <x:c r="AD26" s="86" t="str">
        <x:f>IF(AC26&gt;=80,"high",IF(AC26&gt;=50,"medium","low"))</x:f>
        <x:v>high</x:v>
      </x:c>
      <x:c r="AE26" s="89" t="str">
        <x:v>high</x:v>
      </x:c>
      <x:c r="AF26" s="101" t="str">
        <x:v>루브릭 일치</x:v>
      </x:c>
      <x:c r="AG26" s="101" t="str">
        <x:v>목표: 문맥 어휘 · 독해 목표가 콘텐츠 학습 목표와 직접 일치 (35/35); 유형: 2순위 선호 유형 (22/25); 시간: 18분이 평균 학습 시간의 1.5배 이내 (10/20); 수준: 사용자 레벨 2과 난이도 2가 일치 (20/20). 적용 항목 재환산 87점으로 판단했으며 최종 라벨은 high.</x:v>
      </x:c>
      <x:c r="AH26" s="101" t="str">
        <x:v>일반</x:v>
      </x:c>
      <x:c r="AI26" s="101" t="str">
        <x:v>Codex 초안</x:v>
      </x:c>
      <x:c r="AJ26" s="101" t="str"/>
    </x:row>
    <x:row r="27" ht="52" customHeight="1">
      <x:c r="A27" s="80" t="str">
        <x:v>user-03__content-33</x:v>
      </x:c>
      <x:c r="B27" s="80" t="str">
        <x:v>user-03</x:v>
      </x:c>
      <x:c r="C27" s="80" t="str">
        <x:v>행동 중심형</x:v>
      </x:c>
      <x:c r="D27" s="80" t="str">
        <x:v>신규 · 10회 이상 행동 중심</x:v>
      </x:c>
      <x:c r="E27" s="80" t="str">
        <x:v>신규</x:v>
      </x:c>
      <x:c r="F27" s="80" t="n">
        <x:v>2</x:v>
      </x:c>
      <x:c r="G27" s="92" t="str">
        <x:v>문맥 어휘와 독해 추론 강화</x:v>
      </x:c>
      <x:c r="H27" s="92" t="str">
        <x:v>문맥 어휘 · 독해 추론 · 독해</x:v>
      </x:c>
      <x:c r="I27" s="92" t="str">
        <x:v>있음</x:v>
      </x:c>
      <x:c r="J27" s="92" t="str">
        <x:v>예문 읽기 → 영상 강의</x:v>
      </x:c>
      <x:c r="K27" s="92" t="str">
        <x:v>영상 강의 100% · 예문 읽기 83%</x:v>
      </x:c>
      <x:c r="L27" s="80" t="n">
        <x:v>13.6</x:v>
      </x:c>
      <x:c r="M27" s="80" t="str">
        <x:v>content-33</x:v>
      </x:c>
      <x:c r="N27" s="96" t="str">
        <x:v>문맥 어휘 예문 읽기</x:v>
      </x:c>
      <x:c r="O27" s="96" t="str">
        <x:v>예문 읽기</x:v>
      </x:c>
      <x:c r="P27" s="96" t="n">
        <x:v>2</x:v>
      </x:c>
      <x:c r="Q27" s="96" t="n">
        <x:v>12</x:v>
      </x:c>
      <x:c r="R27" s="92" t="str">
        <x:v>문맥 어휘 문맥 속 쓰임을 구별</x:v>
      </x:c>
      <x:c r="S27" s="92" t="str">
        <x:v>문맥 어휘 · 독해</x:v>
      </x:c>
      <x:c r="T27" s="97" t="str">
        <x:v>직접 일치</x:v>
      </x:c>
      <x:c r="U27" s="86" t="n">
        <x:v>35</x:v>
      </x:c>
      <x:c r="V27" s="86" t="str">
        <x:v>매우 적합</x:v>
      </x:c>
      <x:c r="W27" s="86" t="n">
        <x:v>25</x:v>
      </x:c>
      <x:c r="X27" s="86" t="str">
        <x:v>매우 적합</x:v>
      </x:c>
      <x:c r="Y27" s="86" t="n">
        <x:v>20</x:v>
      </x:c>
      <x:c r="Z27" s="86" t="str">
        <x:v>정확히 일치</x:v>
      </x:c>
      <x:c r="AA27" s="86" t="n">
        <x:v>20</x:v>
      </x:c>
      <x:c r="AB27" s="86" t="n">
        <x:f>35+IF(W27="",0,25)+IF(Y27="",0,20)+20</x:f>
        <x:v>100</x:v>
      </x:c>
      <x:c r="AC27" s="104" t="n">
        <x:f>ROUND((U27+IF(W27="",0,W27)+IF(Y27="",0,Y27)+AA27)/AB27*100,1)</x:f>
        <x:v>100</x:v>
      </x:c>
      <x:c r="AD27" s="86" t="str">
        <x:f>IF(AC27&gt;=80,"high",IF(AC27&gt;=50,"medium","low"))</x:f>
        <x:v>high</x:v>
      </x:c>
      <x:c r="AE27" s="89" t="str">
        <x:v>high</x:v>
      </x:c>
      <x:c r="AF27" s="101" t="str">
        <x:v>루브릭 일치</x:v>
      </x:c>
      <x:c r="AG27" s="101" t="str">
        <x:v>목표: 문맥 어휘 · 독해 목표가 콘텐츠 학습 목표와 직접 일치 (35/35); 유형: 1순위 선호이며 완료율 83% (25/25); 시간: 12분이 평균 13.6분 이내 (20/20); 수준: 사용자 레벨 2과 난이도 2가 일치 (20/20). 적용 항목 재환산 100점으로 판단했으며 최종 라벨은 high.</x:v>
      </x:c>
      <x:c r="AH27" s="101" t="str">
        <x:v>일반</x:v>
      </x:c>
      <x:c r="AI27" s="101" t="str">
        <x:v>Codex 초안</x:v>
      </x:c>
      <x:c r="AJ27" s="101" t="str"/>
    </x:row>
    <x:row r="28" ht="52" customHeight="1">
      <x:c r="A28" s="80" t="str">
        <x:v>user-03__content-35</x:v>
      </x:c>
      <x:c r="B28" s="80" t="str">
        <x:v>user-03</x:v>
      </x:c>
      <x:c r="C28" s="80" t="str">
        <x:v>행동 중심형</x:v>
      </x:c>
      <x:c r="D28" s="80" t="str">
        <x:v>신규 · 10회 이상 행동 중심</x:v>
      </x:c>
      <x:c r="E28" s="80" t="str">
        <x:v>신규</x:v>
      </x:c>
      <x:c r="F28" s="80" t="n">
        <x:v>2</x:v>
      </x:c>
      <x:c r="G28" s="92" t="str">
        <x:v>문맥 어휘와 독해 추론 강화</x:v>
      </x:c>
      <x:c r="H28" s="92" t="str">
        <x:v>문맥 어휘 · 독해 추론 · 독해</x:v>
      </x:c>
      <x:c r="I28" s="92" t="str">
        <x:v>있음</x:v>
      </x:c>
      <x:c r="J28" s="92" t="str">
        <x:v>예문 읽기 → 영상 강의</x:v>
      </x:c>
      <x:c r="K28" s="92" t="str">
        <x:v>영상 강의 100% · 예문 읽기 83%</x:v>
      </x:c>
      <x:c r="L28" s="80" t="n">
        <x:v>13.6</x:v>
      </x:c>
      <x:c r="M28" s="80" t="str">
        <x:v>content-35</x:v>
      </x:c>
      <x:c r="N28" s="96" t="str">
        <x:v>문맥 어휘 오답 교정</x:v>
      </x:c>
      <x:c r="O28" s="96" t="str">
        <x:v>퀴즈</x:v>
      </x:c>
      <x:c r="P28" s="96" t="n">
        <x:v>2</x:v>
      </x:c>
      <x:c r="Q28" s="96" t="n">
        <x:v>9</x:v>
      </x:c>
      <x:c r="R28" s="92" t="str">
        <x:v>문맥 어휘 자주 틀리는 유형을 교정</x:v>
      </x:c>
      <x:c r="S28" s="92" t="str">
        <x:v>문맥 어휘 · 독해</x:v>
      </x:c>
      <x:c r="T28" s="97" t="str">
        <x:v>직접 일치</x:v>
      </x:c>
      <x:c r="U28" s="86" t="n">
        <x:v>35</x:v>
      </x:c>
      <x:c r="V28" s="86" t="str">
        <x:v>N/A</x:v>
      </x:c>
      <x:c r="W28" s="86"/>
      <x:c r="X28" s="86" t="str">
        <x:v>매우 적합</x:v>
      </x:c>
      <x:c r="Y28" s="86" t="n">
        <x:v>20</x:v>
      </x:c>
      <x:c r="Z28" s="86" t="str">
        <x:v>정확히 일치</x:v>
      </x:c>
      <x:c r="AA28" s="86" t="n">
        <x:v>20</x:v>
      </x:c>
      <x:c r="AB28" s="86" t="n">
        <x:f>35+IF(W28="",0,25)+IF(Y28="",0,20)+20</x:f>
        <x:v>75</x:v>
      </x:c>
      <x:c r="AC28" s="104" t="n">
        <x:f>ROUND((U28+IF(W28="",0,W28)+IF(Y28="",0,Y28)+AA28)/AB28*100,1)</x:f>
        <x:v>100</x:v>
      </x:c>
      <x:c r="AD28" s="86" t="str">
        <x:f>IF(AC28&gt;=80,"high",IF(AC28&gt;=50,"medium","low"))</x:f>
        <x:v>high</x:v>
      </x:c>
      <x:c r="AE28" s="89" t="str">
        <x:v>medium</x:v>
      </x:c>
      <x:c r="AF28" s="101" t="str">
        <x:v>high → medium 정성 조정</x:v>
      </x:c>
      <x:c r="AG28" s="101" t="str">
        <x:v>목표: 문맥 어휘 · 독해 목표가 콘텐츠 학습 목표와 직접 일치 (35/35); 유형: 해당 유형 관찰 이력이 없어 비선호로 추측하지 않고 제외; 시간: 9분이 평균 13.6분 이내 (20/20); 수준: 사용자 레벨 2과 난이도 2가 일치 (20/20). 적용 항목 재환산 100점으로 판단했으며 최종 라벨은 medium.</x:v>
      </x:c>
      <x:c r="AH28" s="101" t="str">
        <x:v>우선 검토</x:v>
      </x:c>
      <x:c r="AI28" s="101" t="str">
        <x:v>Codex 초안</x:v>
      </x:c>
      <x:c r="AJ28" s="101" t="str"/>
    </x:row>
    <x:row r="29" ht="52" customHeight="1">
      <x:c r="A29" s="80" t="str">
        <x:v>user-03__content-36</x:v>
      </x:c>
      <x:c r="B29" s="80" t="str">
        <x:v>user-03</x:v>
      </x:c>
      <x:c r="C29" s="80" t="str">
        <x:v>행동 중심형</x:v>
      </x:c>
      <x:c r="D29" s="80" t="str">
        <x:v>신규 · 10회 이상 행동 중심</x:v>
      </x:c>
      <x:c r="E29" s="80" t="str">
        <x:v>신규</x:v>
      </x:c>
      <x:c r="F29" s="80" t="n">
        <x:v>2</x:v>
      </x:c>
      <x:c r="G29" s="92" t="str">
        <x:v>문맥 어휘와 독해 추론 강화</x:v>
      </x:c>
      <x:c r="H29" s="92" t="str">
        <x:v>문맥 어휘 · 독해 추론 · 독해</x:v>
      </x:c>
      <x:c r="I29" s="92" t="str">
        <x:v>있음</x:v>
      </x:c>
      <x:c r="J29" s="92" t="str">
        <x:v>예문 읽기 → 영상 강의</x:v>
      </x:c>
      <x:c r="K29" s="92" t="str">
        <x:v>영상 강의 100% · 예문 읽기 83%</x:v>
      </x:c>
      <x:c r="L29" s="80" t="n">
        <x:v>13.6</x:v>
      </x:c>
      <x:c r="M29" s="80" t="str">
        <x:v>content-36</x:v>
      </x:c>
      <x:c r="N29" s="96" t="str">
        <x:v>독해 추론 핵심 퀴즈</x:v>
      </x:c>
      <x:c r="O29" s="96" t="str">
        <x:v>퀴즈</x:v>
      </x:c>
      <x:c r="P29" s="96" t="n">
        <x:v>1</x:v>
      </x:c>
      <x:c r="Q29" s="96" t="n">
        <x:v>6</x:v>
      </x:c>
      <x:c r="R29" s="92" t="str">
        <x:v>독해 추론 핵심 규칙을 빠르게 확인</x:v>
      </x:c>
      <x:c r="S29" s="92" t="str">
        <x:v>독해 추론 · 독해</x:v>
      </x:c>
      <x:c r="T29" s="97" t="str">
        <x:v>직접 일치</x:v>
      </x:c>
      <x:c r="U29" s="86" t="n">
        <x:v>35</x:v>
      </x:c>
      <x:c r="V29" s="86" t="str">
        <x:v>N/A</x:v>
      </x:c>
      <x:c r="W29" s="86"/>
      <x:c r="X29" s="86" t="str">
        <x:v>매우 적합</x:v>
      </x:c>
      <x:c r="Y29" s="86" t="n">
        <x:v>20</x:v>
      </x:c>
      <x:c r="Z29" s="86" t="str">
        <x:v>허용 범위</x:v>
      </x:c>
      <x:c r="AA29" s="86" t="n">
        <x:v>14</x:v>
      </x:c>
      <x:c r="AB29" s="86" t="n">
        <x:f>35+IF(W29="",0,25)+IF(Y29="",0,20)+20</x:f>
        <x:v>75</x:v>
      </x:c>
      <x:c r="AC29" s="104" t="n">
        <x:f>ROUND((U29+IF(W29="",0,W29)+IF(Y29="",0,Y29)+AA29)/AB29*100,1)</x:f>
        <x:v>92</x:v>
      </x:c>
      <x:c r="AD29" s="86" t="str">
        <x:f>IF(AC29&gt;=80,"high",IF(AC29&gt;=50,"medium","low"))</x:f>
        <x:v>high</x:v>
      </x:c>
      <x:c r="AE29" s="89" t="str">
        <x:v>medium</x:v>
      </x:c>
      <x:c r="AF29" s="101" t="str">
        <x:v>high → medium 정성 조정</x:v>
      </x:c>
      <x:c r="AG29" s="101" t="str">
        <x:v>목표: 독해 추론 · 독해 목표가 콘텐츠 학습 목표와 직접 일치 (35/35); 유형: 해당 유형 관찰 이력이 없어 비선호로 추측하지 않고 제외; 시간: 6분이 평균 13.6분 이내 (20/20); 수준: 사용자 레벨과 난이도 차이가 1단계 (14/20). 적용 항목 재환산 92점으로 판단했으며 최종 라벨은 medium.</x:v>
      </x:c>
      <x:c r="AH29" s="101" t="str">
        <x:v>우선 검토</x:v>
      </x:c>
      <x:c r="AI29" s="101" t="str">
        <x:v>Codex 초안</x:v>
      </x:c>
      <x:c r="AJ29" s="101" t="str"/>
    </x:row>
    <x:row r="30" ht="52" customHeight="1">
      <x:c r="A30" s="80" t="str">
        <x:v>user-03__content-37</x:v>
      </x:c>
      <x:c r="B30" s="80" t="str">
        <x:v>user-03</x:v>
      </x:c>
      <x:c r="C30" s="80" t="str">
        <x:v>행동 중심형</x:v>
      </x:c>
      <x:c r="D30" s="80" t="str">
        <x:v>신규 · 10회 이상 행동 중심</x:v>
      </x:c>
      <x:c r="E30" s="80" t="str">
        <x:v>신규</x:v>
      </x:c>
      <x:c r="F30" s="80" t="n">
        <x:v>2</x:v>
      </x:c>
      <x:c r="G30" s="92" t="str">
        <x:v>문맥 어휘와 독해 추론 강화</x:v>
      </x:c>
      <x:c r="H30" s="92" t="str">
        <x:v>문맥 어휘 · 독해 추론 · 독해</x:v>
      </x:c>
      <x:c r="I30" s="92" t="str">
        <x:v>있음</x:v>
      </x:c>
      <x:c r="J30" s="92" t="str">
        <x:v>예문 읽기 → 영상 강의</x:v>
      </x:c>
      <x:c r="K30" s="92" t="str">
        <x:v>영상 강의 100% · 예문 읽기 83%</x:v>
      </x:c>
      <x:c r="L30" s="80" t="n">
        <x:v>13.6</x:v>
      </x:c>
      <x:c r="M30" s="80" t="str">
        <x:v>content-37</x:v>
      </x:c>
      <x:c r="N30" s="96" t="str">
        <x:v>독해 추론 개념 강의</x:v>
      </x:c>
      <x:c r="O30" s="96" t="str">
        <x:v>영상 강의</x:v>
      </x:c>
      <x:c r="P30" s="96" t="n">
        <x:v>2</x:v>
      </x:c>
      <x:c r="Q30" s="96" t="n">
        <x:v>18</x:v>
      </x:c>
      <x:c r="R30" s="92" t="str">
        <x:v>독해 추론 대표 쓰임과 오류를 이해</x:v>
      </x:c>
      <x:c r="S30" s="92" t="str">
        <x:v>독해 추론 · 독해</x:v>
      </x:c>
      <x:c r="T30" s="97" t="str">
        <x:v>직접 일치</x:v>
      </x:c>
      <x:c r="U30" s="86" t="n">
        <x:v>35</x:v>
      </x:c>
      <x:c r="V30" s="86" t="str">
        <x:v>적합</x:v>
      </x:c>
      <x:c r="W30" s="86" t="n">
        <x:v>22</x:v>
      </x:c>
      <x:c r="X30" s="86" t="str">
        <x:v>보통</x:v>
      </x:c>
      <x:c r="Y30" s="86" t="n">
        <x:v>10</x:v>
      </x:c>
      <x:c r="Z30" s="86" t="str">
        <x:v>정확히 일치</x:v>
      </x:c>
      <x:c r="AA30" s="86" t="n">
        <x:v>20</x:v>
      </x:c>
      <x:c r="AB30" s="86" t="n">
        <x:f>35+IF(W30="",0,25)+IF(Y30="",0,20)+20</x:f>
        <x:v>100</x:v>
      </x:c>
      <x:c r="AC30" s="104" t="n">
        <x:f>ROUND((U30+IF(W30="",0,W30)+IF(Y30="",0,Y30)+AA30)/AB30*100,1)</x:f>
        <x:v>87</x:v>
      </x:c>
      <x:c r="AD30" s="86" t="str">
        <x:f>IF(AC30&gt;=80,"high",IF(AC30&gt;=50,"medium","low"))</x:f>
        <x:v>high</x:v>
      </x:c>
      <x:c r="AE30" s="89" t="str">
        <x:v>high</x:v>
      </x:c>
      <x:c r="AF30" s="101" t="str">
        <x:v>루브릭 일치</x:v>
      </x:c>
      <x:c r="AG30" s="101" t="str">
        <x:v>목표: 독해 추론 · 독해 목표가 콘텐츠 학습 목표와 직접 일치 (35/35); 유형: 2순위 선호 유형 (22/25); 시간: 18분이 평균 학습 시간의 1.5배 이내 (10/20); 수준: 사용자 레벨 2과 난이도 2가 일치 (20/20). 적용 항목 재환산 87점으로 판단했으며 최종 라벨은 high.</x:v>
      </x:c>
      <x:c r="AH30" s="101" t="str">
        <x:v>일반</x:v>
      </x:c>
      <x:c r="AI30" s="101" t="str">
        <x:v>Codex 초안</x:v>
      </x:c>
      <x:c r="AJ30" s="101" t="str"/>
    </x:row>
    <x:row r="31" ht="52" customHeight="1">
      <x:c r="A31" s="80" t="str">
        <x:v>user-03__content-38</x:v>
      </x:c>
      <x:c r="B31" s="80" t="str">
        <x:v>user-03</x:v>
      </x:c>
      <x:c r="C31" s="80" t="str">
        <x:v>행동 중심형</x:v>
      </x:c>
      <x:c r="D31" s="80" t="str">
        <x:v>신규 · 10회 이상 행동 중심</x:v>
      </x:c>
      <x:c r="E31" s="80" t="str">
        <x:v>신규</x:v>
      </x:c>
      <x:c r="F31" s="80" t="n">
        <x:v>2</x:v>
      </x:c>
      <x:c r="G31" s="92" t="str">
        <x:v>문맥 어휘와 독해 추론 강화</x:v>
      </x:c>
      <x:c r="H31" s="92" t="str">
        <x:v>문맥 어휘 · 독해 추론 · 독해</x:v>
      </x:c>
      <x:c r="I31" s="92" t="str">
        <x:v>있음</x:v>
      </x:c>
      <x:c r="J31" s="92" t="str">
        <x:v>예문 읽기 → 영상 강의</x:v>
      </x:c>
      <x:c r="K31" s="92" t="str">
        <x:v>영상 강의 100% · 예문 읽기 83%</x:v>
      </x:c>
      <x:c r="L31" s="80" t="n">
        <x:v>13.6</x:v>
      </x:c>
      <x:c r="M31" s="80" t="str">
        <x:v>content-38</x:v>
      </x:c>
      <x:c r="N31" s="96" t="str">
        <x:v>독해 추론 예문 읽기</x:v>
      </x:c>
      <x:c r="O31" s="96" t="str">
        <x:v>예문 읽기</x:v>
      </x:c>
      <x:c r="P31" s="96" t="n">
        <x:v>2</x:v>
      </x:c>
      <x:c r="Q31" s="96" t="n">
        <x:v>12</x:v>
      </x:c>
      <x:c r="R31" s="92" t="str">
        <x:v>독해 추론 문맥 속 쓰임을 구별</x:v>
      </x:c>
      <x:c r="S31" s="92" t="str">
        <x:v>독해 추론 · 독해</x:v>
      </x:c>
      <x:c r="T31" s="97" t="str">
        <x:v>직접 일치</x:v>
      </x:c>
      <x:c r="U31" s="86" t="n">
        <x:v>35</x:v>
      </x:c>
      <x:c r="V31" s="86" t="str">
        <x:v>매우 적합</x:v>
      </x:c>
      <x:c r="W31" s="86" t="n">
        <x:v>25</x:v>
      </x:c>
      <x:c r="X31" s="86" t="str">
        <x:v>매우 적합</x:v>
      </x:c>
      <x:c r="Y31" s="86" t="n">
        <x:v>20</x:v>
      </x:c>
      <x:c r="Z31" s="86" t="str">
        <x:v>정확히 일치</x:v>
      </x:c>
      <x:c r="AA31" s="86" t="n">
        <x:v>20</x:v>
      </x:c>
      <x:c r="AB31" s="86" t="n">
        <x:f>35+IF(W31="",0,25)+IF(Y31="",0,20)+20</x:f>
        <x:v>100</x:v>
      </x:c>
      <x:c r="AC31" s="104" t="n">
        <x:f>ROUND((U31+IF(W31="",0,W31)+IF(Y31="",0,Y31)+AA31)/AB31*100,1)</x:f>
        <x:v>100</x:v>
      </x:c>
      <x:c r="AD31" s="86" t="str">
        <x:f>IF(AC31&gt;=80,"high",IF(AC31&gt;=50,"medium","low"))</x:f>
        <x:v>high</x:v>
      </x:c>
      <x:c r="AE31" s="89" t="str">
        <x:v>high</x:v>
      </x:c>
      <x:c r="AF31" s="101" t="str">
        <x:v>루브릭 일치</x:v>
      </x:c>
      <x:c r="AG31" s="101" t="str">
        <x:v>목표: 독해 추론 · 독해 목표가 콘텐츠 학습 목표와 직접 일치 (35/35); 유형: 1순위 선호이며 완료율 83% (25/25); 시간: 12분이 평균 13.6분 이내 (20/20); 수준: 사용자 레벨 2과 난이도 2가 일치 (20/20). 적용 항목 재환산 100점으로 판단했으며 최종 라벨은 high.</x:v>
      </x:c>
      <x:c r="AH31" s="101" t="str">
        <x:v>우선 검토</x:v>
      </x:c>
      <x:c r="AI31" s="101" t="str">
        <x:v>Codex 초안</x:v>
      </x:c>
      <x:c r="AJ31" s="101" t="str"/>
    </x:row>
    <x:row r="32" ht="52" customHeight="1">
      <x:c r="A32" s="80" t="str">
        <x:v>user-03__content-39</x:v>
      </x:c>
      <x:c r="B32" s="80" t="str">
        <x:v>user-03</x:v>
      </x:c>
      <x:c r="C32" s="80" t="str">
        <x:v>행동 중심형</x:v>
      </x:c>
      <x:c r="D32" s="80" t="str">
        <x:v>신규 · 10회 이상 행동 중심</x:v>
      </x:c>
      <x:c r="E32" s="80" t="str">
        <x:v>신규</x:v>
      </x:c>
      <x:c r="F32" s="80" t="n">
        <x:v>2</x:v>
      </x:c>
      <x:c r="G32" s="92" t="str">
        <x:v>문맥 어휘와 독해 추론 강화</x:v>
      </x:c>
      <x:c r="H32" s="92" t="str">
        <x:v>문맥 어휘 · 독해 추론 · 독해</x:v>
      </x:c>
      <x:c r="I32" s="92" t="str">
        <x:v>있음</x:v>
      </x:c>
      <x:c r="J32" s="92" t="str">
        <x:v>예문 읽기 → 영상 강의</x:v>
      </x:c>
      <x:c r="K32" s="92" t="str">
        <x:v>영상 강의 100% · 예문 읽기 83%</x:v>
      </x:c>
      <x:c r="L32" s="80" t="n">
        <x:v>13.6</x:v>
      </x:c>
      <x:c r="M32" s="80" t="str">
        <x:v>content-39</x:v>
      </x:c>
      <x:c r="N32" s="96" t="str">
        <x:v>독해 추론 심화 문제</x:v>
      </x:c>
      <x:c r="O32" s="96" t="str">
        <x:v>심화 문제</x:v>
      </x:c>
      <x:c r="P32" s="96" t="n">
        <x:v>3</x:v>
      </x:c>
      <x:c r="Q32" s="96" t="n">
        <x:v>22</x:v>
      </x:c>
      <x:c r="R32" s="92" t="str">
        <x:v>독해 추론 복합 문장에서 정확히 적용</x:v>
      </x:c>
      <x:c r="S32" s="92" t="str">
        <x:v>독해 추론 · 독해</x:v>
      </x:c>
      <x:c r="T32" s="97" t="str">
        <x:v>직접 일치</x:v>
      </x:c>
      <x:c r="U32" s="86" t="n">
        <x:v>35</x:v>
      </x:c>
      <x:c r="V32" s="86" t="str">
        <x:v>N/A</x:v>
      </x:c>
      <x:c r="W32" s="86"/>
      <x:c r="X32" s="86" t="str">
        <x:v>부담</x:v>
      </x:c>
      <x:c r="Y32" s="86" t="n">
        <x:v>4</x:v>
      </x:c>
      <x:c r="Z32" s="86" t="str">
        <x:v>허용 범위</x:v>
      </x:c>
      <x:c r="AA32" s="86" t="n">
        <x:v>14</x:v>
      </x:c>
      <x:c r="AB32" s="86" t="n">
        <x:f>35+IF(W32="",0,25)+IF(Y32="",0,20)+20</x:f>
        <x:v>75</x:v>
      </x:c>
      <x:c r="AC32" s="104" t="n">
        <x:f>ROUND((U32+IF(W32="",0,W32)+IF(Y32="",0,Y32)+AA32)/AB32*100,1)</x:f>
        <x:v>70.7</x:v>
      </x:c>
      <x:c r="AD32" s="86" t="str">
        <x:f>IF(AC32&gt;=80,"high",IF(AC32&gt;=50,"medium","low"))</x:f>
        <x:v>medium</x:v>
      </x:c>
      <x:c r="AE32" s="89" t="str">
        <x:v>medium</x:v>
      </x:c>
      <x:c r="AF32" s="101" t="str">
        <x:v>루브릭 일치</x:v>
      </x:c>
      <x:c r="AG32" s="101" t="str">
        <x:v>목표: 독해 추론 · 독해 목표가 콘텐츠 학습 목표와 직접 일치 (35/35); 유형: 해당 유형 관찰 이력이 없어 비선호로 추측하지 않고 제외; 시간: 22분이 평균 13.6분의 1.5배를 초과 (4/20); 수준: 사용자 레벨과 난이도 차이가 1단계 (14/20). 적용 항목 재환산 70.7점으로 판단했으며 최종 라벨은 medium.</x:v>
      </x:c>
      <x:c r="AH32" s="101" t="str">
        <x:v>우선 검토</x:v>
      </x:c>
      <x:c r="AI32" s="101" t="str">
        <x:v>Codex 초안</x:v>
      </x:c>
      <x:c r="AJ32" s="101" t="str"/>
    </x:row>
    <x:row r="33" ht="52" customHeight="1">
      <x:c r="A33" s="80" t="str">
        <x:v>user-03__content-40</x:v>
      </x:c>
      <x:c r="B33" s="80" t="str">
        <x:v>user-03</x:v>
      </x:c>
      <x:c r="C33" s="80" t="str">
        <x:v>행동 중심형</x:v>
      </x:c>
      <x:c r="D33" s="80" t="str">
        <x:v>신규 · 10회 이상 행동 중심</x:v>
      </x:c>
      <x:c r="E33" s="80" t="str">
        <x:v>신규</x:v>
      </x:c>
      <x:c r="F33" s="80" t="n">
        <x:v>2</x:v>
      </x:c>
      <x:c r="G33" s="92" t="str">
        <x:v>문맥 어휘와 독해 추론 강화</x:v>
      </x:c>
      <x:c r="H33" s="92" t="str">
        <x:v>문맥 어휘 · 독해 추론 · 독해</x:v>
      </x:c>
      <x:c r="I33" s="92" t="str">
        <x:v>있음</x:v>
      </x:c>
      <x:c r="J33" s="92" t="str">
        <x:v>예문 읽기 → 영상 강의</x:v>
      </x:c>
      <x:c r="K33" s="92" t="str">
        <x:v>영상 강의 100% · 예문 읽기 83%</x:v>
      </x:c>
      <x:c r="L33" s="80" t="n">
        <x:v>13.6</x:v>
      </x:c>
      <x:c r="M33" s="80" t="str">
        <x:v>content-40</x:v>
      </x:c>
      <x:c r="N33" s="96" t="str">
        <x:v>독해 추론 오답 교정</x:v>
      </x:c>
      <x:c r="O33" s="96" t="str">
        <x:v>퀴즈</x:v>
      </x:c>
      <x:c r="P33" s="96" t="n">
        <x:v>2</x:v>
      </x:c>
      <x:c r="Q33" s="96" t="n">
        <x:v>9</x:v>
      </x:c>
      <x:c r="R33" s="92" t="str">
        <x:v>독해 추론 자주 틀리는 유형을 교정</x:v>
      </x:c>
      <x:c r="S33" s="92" t="str">
        <x:v>독해 추론 · 독해</x:v>
      </x:c>
      <x:c r="T33" s="97" t="str">
        <x:v>직접 일치</x:v>
      </x:c>
      <x:c r="U33" s="86" t="n">
        <x:v>35</x:v>
      </x:c>
      <x:c r="V33" s="86" t="str">
        <x:v>N/A</x:v>
      </x:c>
      <x:c r="W33" s="86"/>
      <x:c r="X33" s="86" t="str">
        <x:v>매우 적합</x:v>
      </x:c>
      <x:c r="Y33" s="86" t="n">
        <x:v>20</x:v>
      </x:c>
      <x:c r="Z33" s="86" t="str">
        <x:v>정확히 일치</x:v>
      </x:c>
      <x:c r="AA33" s="86" t="n">
        <x:v>20</x:v>
      </x:c>
      <x:c r="AB33" s="86" t="n">
        <x:f>35+IF(W33="",0,25)+IF(Y33="",0,20)+20</x:f>
        <x:v>75</x:v>
      </x:c>
      <x:c r="AC33" s="104" t="n">
        <x:f>ROUND((U33+IF(W33="",0,W33)+IF(Y33="",0,Y33)+AA33)/AB33*100,1)</x:f>
        <x:v>100</x:v>
      </x:c>
      <x:c r="AD33" s="86" t="str">
        <x:f>IF(AC33&gt;=80,"high",IF(AC33&gt;=50,"medium","low"))</x:f>
        <x:v>high</x:v>
      </x:c>
      <x:c r="AE33" s="89" t="str">
        <x:v>medium</x:v>
      </x:c>
      <x:c r="AF33" s="101" t="str">
        <x:v>high → medium 정성 조정</x:v>
      </x:c>
      <x:c r="AG33" s="101" t="str">
        <x:v>목표: 독해 추론 · 독해 목표가 콘텐츠 학습 목표와 직접 일치 (35/35); 유형: 해당 유형 관찰 이력이 없어 비선호로 추측하지 않고 제외; 시간: 9분이 평균 13.6분 이내 (20/20); 수준: 사용자 레벨 2과 난이도 2가 일치 (20/20). 적용 항목 재환산 100점으로 판단했으며 최종 라벨은 medium.</x:v>
      </x:c>
      <x:c r="AH33" s="101" t="str">
        <x:v>우선 검토</x:v>
      </x:c>
      <x:c r="AI33" s="101" t="str">
        <x:v>Codex 초안</x:v>
      </x:c>
      <x:c r="AJ33" s="101" t="str"/>
    </x:row>
    <x:row r="34" ht="52" customHeight="1">
      <x:c r="A34" s="80" t="str">
        <x:v>user-03__content-21</x:v>
      </x:c>
      <x:c r="B34" s="80" t="str">
        <x:v>user-03</x:v>
      </x:c>
      <x:c r="C34" s="80" t="str">
        <x:v>행동 중심형</x:v>
      </x:c>
      <x:c r="D34" s="80" t="str">
        <x:v>신규 · 10회 이상 행동 중심</x:v>
      </x:c>
      <x:c r="E34" s="80" t="str">
        <x:v>신규</x:v>
      </x:c>
      <x:c r="F34" s="80" t="n">
        <x:v>2</x:v>
      </x:c>
      <x:c r="G34" s="92" t="str">
        <x:v>문맥 어휘와 독해 추론 강화</x:v>
      </x:c>
      <x:c r="H34" s="92" t="str">
        <x:v>문맥 어휘 · 독해 추론 · 독해</x:v>
      </x:c>
      <x:c r="I34" s="92" t="str">
        <x:v>있음</x:v>
      </x:c>
      <x:c r="J34" s="92" t="str">
        <x:v>예문 읽기 → 영상 강의</x:v>
      </x:c>
      <x:c r="K34" s="92" t="str">
        <x:v>영상 강의 100% · 예문 읽기 83%</x:v>
      </x:c>
      <x:c r="L34" s="80" t="n">
        <x:v>13.6</x:v>
      </x:c>
      <x:c r="M34" s="80" t="str">
        <x:v>content-21</x:v>
      </x:c>
      <x:c r="N34" s="96" t="str">
        <x:v>관계대명사 핵심 퀴즈</x:v>
      </x:c>
      <x:c r="O34" s="96" t="str">
        <x:v>퀴즈</x:v>
      </x:c>
      <x:c r="P34" s="96" t="n">
        <x:v>1</x:v>
      </x:c>
      <x:c r="Q34" s="96" t="n">
        <x:v>6</x:v>
      </x:c>
      <x:c r="R34" s="92" t="str">
        <x:v>관계대명사 핵심 규칙을 빠르게 확인</x:v>
      </x:c>
      <x:c r="S34" s="92" t="str">
        <x:v>관계절 · 문법</x:v>
      </x:c>
      <x:c r="T34" s="97" t="str">
        <x:v>관련 낮음</x:v>
      </x:c>
      <x:c r="U34" s="86" t="n">
        <x:v>5</x:v>
      </x:c>
      <x:c r="V34" s="86" t="str">
        <x:v>N/A</x:v>
      </x:c>
      <x:c r="W34" s="86"/>
      <x:c r="X34" s="86" t="str">
        <x:v>매우 적합</x:v>
      </x:c>
      <x:c r="Y34" s="86" t="n">
        <x:v>20</x:v>
      </x:c>
      <x:c r="Z34" s="86" t="str">
        <x:v>허용 범위</x:v>
      </x:c>
      <x:c r="AA34" s="86" t="n">
        <x:v>14</x:v>
      </x:c>
      <x:c r="AB34" s="86" t="n">
        <x:f>35+IF(W34="",0,25)+IF(Y34="",0,20)+20</x:f>
        <x:v>75</x:v>
      </x:c>
      <x:c r="AC34" s="104" t="n">
        <x:f>ROUND((U34+IF(W34="",0,W34)+IF(Y34="",0,Y34)+AA34)/AB34*100,1)</x:f>
        <x:v>52</x:v>
      </x:c>
      <x:c r="AD34" s="86" t="str">
        <x:f>IF(AC34&gt;=80,"high",IF(AC34&gt;=50,"medium","low"))</x:f>
        <x:v>medium</x:v>
      </x:c>
      <x:c r="AE34" s="89" t="str">
        <x:v>low</x:v>
      </x:c>
      <x:c r="AF34" s="101" t="str">
        <x:v>medium → low 정성 조정</x:v>
      </x:c>
      <x:c r="AG34" s="101" t="str">
        <x:v>목표: 사용자 목표 태그와 콘텐츠 학습 목표의 직접 연결이 없음 (5/35); 유형: 해당 유형 관찰 이력이 없어 비선호로 추측하지 않고 제외; 시간: 6분이 평균 13.6분 이내 (20/20); 수준: 사용자 레벨과 난이도 차이가 1단계 (14/20). 적용 항목 재환산 52점으로 판단했으며 최종 라벨은 low.</x:v>
      </x:c>
      <x:c r="AH34" s="101" t="str">
        <x:v>우선 검토</x:v>
      </x:c>
      <x:c r="AI34" s="101" t="str">
        <x:v>Codex 초안</x:v>
      </x:c>
      <x:c r="AJ34" s="101" t="str"/>
    </x:row>
    <x:row r="35" ht="52" customHeight="1">
      <x:c r="A35" s="80" t="str">
        <x:v>user-04__content-01</x:v>
      </x:c>
      <x:c r="B35" s="80" t="str">
        <x:v>user-04</x:v>
      </x:c>
      <x:c r="C35" s="80" t="str">
        <x:v>짧은 퀴즈형</x:v>
      </x:c>
      <x:c r="D35" s="80" t="str">
        <x:v>기존 · 짧은 퀴즈 선호</x:v>
      </x:c>
      <x:c r="E35" s="80" t="str">
        <x:v>기존</x:v>
      </x:c>
      <x:c r="F35" s="80" t="n">
        <x:v>2</x:v>
      </x:c>
      <x:c r="G35" s="92" t="str">
        <x:v>시험 문법 오답을 짧게 교정</x:v>
      </x:c>
      <x:c r="H35" s="92" t="str">
        <x:v>문법 · 시제 · 관계절</x:v>
      </x:c>
      <x:c r="I35" s="92" t="str">
        <x:v>있음</x:v>
      </x:c>
      <x:c r="J35" s="92" t="str">
        <x:v>퀴즈 → 예문 읽기</x:v>
      </x:c>
      <x:c r="K35" s="92" t="str">
        <x:v>퀴즈 75% · 예문 읽기 100%</x:v>
      </x:c>
      <x:c r="L35" s="80" t="n">
        <x:v>8.3</x:v>
      </x:c>
      <x:c r="M35" s="80" t="str">
        <x:v>content-01</x:v>
      </x:c>
      <x:c r="N35" s="96" t="str">
        <x:v>현재완료 핵심 퀴즈</x:v>
      </x:c>
      <x:c r="O35" s="96" t="str">
        <x:v>퀴즈</x:v>
      </x:c>
      <x:c r="P35" s="96" t="n">
        <x:v>1</x:v>
      </x:c>
      <x:c r="Q35" s="96" t="n">
        <x:v>6</x:v>
      </x:c>
      <x:c r="R35" s="92" t="str">
        <x:v>현재완료 핵심 규칙을 빠르게 확인</x:v>
      </x:c>
      <x:c r="S35" s="92" t="str">
        <x:v>시제 · 문법</x:v>
      </x:c>
      <x:c r="T35" s="97" t="str">
        <x:v>직접 일치</x:v>
      </x:c>
      <x:c r="U35" s="86" t="n">
        <x:v>35</x:v>
      </x:c>
      <x:c r="V35" s="86" t="str">
        <x:v>매우 적합</x:v>
      </x:c>
      <x:c r="W35" s="86" t="n">
        <x:v>25</x:v>
      </x:c>
      <x:c r="X35" s="86" t="str">
        <x:v>매우 적합</x:v>
      </x:c>
      <x:c r="Y35" s="86" t="n">
        <x:v>20</x:v>
      </x:c>
      <x:c r="Z35" s="86" t="str">
        <x:v>허용 범위</x:v>
      </x:c>
      <x:c r="AA35" s="86" t="n">
        <x:v>14</x:v>
      </x:c>
      <x:c r="AB35" s="86" t="n">
        <x:f>35+IF(W35="",0,25)+IF(Y35="",0,20)+20</x:f>
        <x:v>100</x:v>
      </x:c>
      <x:c r="AC35" s="104" t="n">
        <x:f>ROUND((U35+IF(W35="",0,W35)+IF(Y35="",0,Y35)+AA35)/AB35*100,1)</x:f>
        <x:v>94</x:v>
      </x:c>
      <x:c r="AD35" s="86" t="str">
        <x:f>IF(AC35&gt;=80,"high",IF(AC35&gt;=50,"medium","low"))</x:f>
        <x:v>high</x:v>
      </x:c>
      <x:c r="AE35" s="89" t="str">
        <x:v>high</x:v>
      </x:c>
      <x:c r="AF35" s="101" t="str">
        <x:v>루브릭 일치</x:v>
      </x:c>
      <x:c r="AG35" s="101" t="str">
        <x:v>목표: 시제 목표가 콘텐츠 학습 목표와 직접 일치 (35/35); 유형: 1순위 선호이며 완료율 75% (25/25); 시간: 6분이 평균 8.3분 이내 (20/20); 수준: 사용자 레벨과 난이도 차이가 1단계 (14/20). 적용 항목 재환산 94점으로 판단했으며 최종 라벨은 high.</x:v>
      </x:c>
      <x:c r="AH35" s="101" t="str">
        <x:v>일반</x:v>
      </x:c>
      <x:c r="AI35" s="101" t="str">
        <x:v>Codex 초안</x:v>
      </x:c>
      <x:c r="AJ35" s="101" t="str"/>
    </x:row>
    <x:row r="36" ht="52" customHeight="1">
      <x:c r="A36" s="80" t="str">
        <x:v>user-04__content-02</x:v>
      </x:c>
      <x:c r="B36" s="80" t="str">
        <x:v>user-04</x:v>
      </x:c>
      <x:c r="C36" s="80" t="str">
        <x:v>짧은 퀴즈형</x:v>
      </x:c>
      <x:c r="D36" s="80" t="str">
        <x:v>기존 · 짧은 퀴즈 선호</x:v>
      </x:c>
      <x:c r="E36" s="80" t="str">
        <x:v>기존</x:v>
      </x:c>
      <x:c r="F36" s="80" t="n">
        <x:v>2</x:v>
      </x:c>
      <x:c r="G36" s="92" t="str">
        <x:v>시험 문법 오답을 짧게 교정</x:v>
      </x:c>
      <x:c r="H36" s="92" t="str">
        <x:v>문법 · 시제 · 관계절</x:v>
      </x:c>
      <x:c r="I36" s="92" t="str">
        <x:v>있음</x:v>
      </x:c>
      <x:c r="J36" s="92" t="str">
        <x:v>퀴즈 → 예문 읽기</x:v>
      </x:c>
      <x:c r="K36" s="92" t="str">
        <x:v>퀴즈 75% · 예문 읽기 100%</x:v>
      </x:c>
      <x:c r="L36" s="80" t="n">
        <x:v>8.3</x:v>
      </x:c>
      <x:c r="M36" s="80" t="str">
        <x:v>content-02</x:v>
      </x:c>
      <x:c r="N36" s="96" t="str">
        <x:v>현재완료 개념 강의</x:v>
      </x:c>
      <x:c r="O36" s="96" t="str">
        <x:v>영상 강의</x:v>
      </x:c>
      <x:c r="P36" s="96" t="n">
        <x:v>2</x:v>
      </x:c>
      <x:c r="Q36" s="96" t="n">
        <x:v>18</x:v>
      </x:c>
      <x:c r="R36" s="92" t="str">
        <x:v>현재완료 대표 쓰임과 오류를 이해</x:v>
      </x:c>
      <x:c r="S36" s="92" t="str">
        <x:v>시제 · 문법</x:v>
      </x:c>
      <x:c r="T36" s="97" t="str">
        <x:v>직접 일치</x:v>
      </x:c>
      <x:c r="U36" s="86" t="n">
        <x:v>35</x:v>
      </x:c>
      <x:c r="V36" s="86" t="str">
        <x:v>N/A</x:v>
      </x:c>
      <x:c r="W36" s="86"/>
      <x:c r="X36" s="86" t="str">
        <x:v>부담</x:v>
      </x:c>
      <x:c r="Y36" s="86" t="n">
        <x:v>4</x:v>
      </x:c>
      <x:c r="Z36" s="86" t="str">
        <x:v>정확히 일치</x:v>
      </x:c>
      <x:c r="AA36" s="86" t="n">
        <x:v>20</x:v>
      </x:c>
      <x:c r="AB36" s="86" t="n">
        <x:f>35+IF(W36="",0,25)+IF(Y36="",0,20)+20</x:f>
        <x:v>75</x:v>
      </x:c>
      <x:c r="AC36" s="104" t="n">
        <x:f>ROUND((U36+IF(W36="",0,W36)+IF(Y36="",0,Y36)+AA36)/AB36*100,1)</x:f>
        <x:v>78.7</x:v>
      </x:c>
      <x:c r="AD36" s="86" t="str">
        <x:f>IF(AC36&gt;=80,"high",IF(AC36&gt;=50,"medium","low"))</x:f>
        <x:v>medium</x:v>
      </x:c>
      <x:c r="AE36" s="89" t="str">
        <x:v>medium</x:v>
      </x:c>
      <x:c r="AF36" s="101" t="str">
        <x:v>루브릭 일치</x:v>
      </x:c>
      <x:c r="AG36" s="101" t="str">
        <x:v>목표: 시제 목표가 콘텐츠 학습 목표와 직접 일치 (35/35); 유형: 해당 유형 관찰 이력이 없어 비선호로 추측하지 않고 제외; 시간: 18분이 평균 8.3분의 1.5배를 초과 (4/20); 수준: 사용자 레벨 2과 난이도 2가 일치 (20/20). 적용 항목 재환산 78.7점으로 판단했으며 최종 라벨은 medium.</x:v>
      </x:c>
      <x:c r="AH36" s="101" t="str">
        <x:v>일반</x:v>
      </x:c>
      <x:c r="AI36" s="101" t="str">
        <x:v>Codex 초안</x:v>
      </x:c>
      <x:c r="AJ36" s="101" t="str"/>
    </x:row>
    <x:row r="37" ht="52" customHeight="1">
      <x:c r="A37" s="80" t="str">
        <x:v>user-04__content-03</x:v>
      </x:c>
      <x:c r="B37" s="80" t="str">
        <x:v>user-04</x:v>
      </x:c>
      <x:c r="C37" s="80" t="str">
        <x:v>짧은 퀴즈형</x:v>
      </x:c>
      <x:c r="D37" s="80" t="str">
        <x:v>기존 · 짧은 퀴즈 선호</x:v>
      </x:c>
      <x:c r="E37" s="80" t="str">
        <x:v>기존</x:v>
      </x:c>
      <x:c r="F37" s="80" t="n">
        <x:v>2</x:v>
      </x:c>
      <x:c r="G37" s="92" t="str">
        <x:v>시험 문법 오답을 짧게 교정</x:v>
      </x:c>
      <x:c r="H37" s="92" t="str">
        <x:v>문법 · 시제 · 관계절</x:v>
      </x:c>
      <x:c r="I37" s="92" t="str">
        <x:v>있음</x:v>
      </x:c>
      <x:c r="J37" s="92" t="str">
        <x:v>퀴즈 → 예문 읽기</x:v>
      </x:c>
      <x:c r="K37" s="92" t="str">
        <x:v>퀴즈 75% · 예문 읽기 100%</x:v>
      </x:c>
      <x:c r="L37" s="80" t="n">
        <x:v>8.3</x:v>
      </x:c>
      <x:c r="M37" s="80" t="str">
        <x:v>content-03</x:v>
      </x:c>
      <x:c r="N37" s="96" t="str">
        <x:v>현재완료 예문 읽기</x:v>
      </x:c>
      <x:c r="O37" s="96" t="str">
        <x:v>예문 읽기</x:v>
      </x:c>
      <x:c r="P37" s="96" t="n">
        <x:v>2</x:v>
      </x:c>
      <x:c r="Q37" s="96" t="n">
        <x:v>12</x:v>
      </x:c>
      <x:c r="R37" s="92" t="str">
        <x:v>현재완료 문맥 속 쓰임을 구별</x:v>
      </x:c>
      <x:c r="S37" s="92" t="str">
        <x:v>시제 · 문법</x:v>
      </x:c>
      <x:c r="T37" s="97" t="str">
        <x:v>직접 일치</x:v>
      </x:c>
      <x:c r="U37" s="86" t="n">
        <x:v>35</x:v>
      </x:c>
      <x:c r="V37" s="86" t="str">
        <x:v>적합</x:v>
      </x:c>
      <x:c r="W37" s="86" t="n">
        <x:v>22</x:v>
      </x:c>
      <x:c r="X37" s="86" t="str">
        <x:v>보통</x:v>
      </x:c>
      <x:c r="Y37" s="86" t="n">
        <x:v>10</x:v>
      </x:c>
      <x:c r="Z37" s="86" t="str">
        <x:v>정확히 일치</x:v>
      </x:c>
      <x:c r="AA37" s="86" t="n">
        <x:v>20</x:v>
      </x:c>
      <x:c r="AB37" s="86" t="n">
        <x:f>35+IF(W37="",0,25)+IF(Y37="",0,20)+20</x:f>
        <x:v>100</x:v>
      </x:c>
      <x:c r="AC37" s="104" t="n">
        <x:f>ROUND((U37+IF(W37="",0,W37)+IF(Y37="",0,Y37)+AA37)/AB37*100,1)</x:f>
        <x:v>87</x:v>
      </x:c>
      <x:c r="AD37" s="86" t="str">
        <x:f>IF(AC37&gt;=80,"high",IF(AC37&gt;=50,"medium","low"))</x:f>
        <x:v>high</x:v>
      </x:c>
      <x:c r="AE37" s="89" t="str">
        <x:v>high</x:v>
      </x:c>
      <x:c r="AF37" s="101" t="str">
        <x:v>루브릭 일치</x:v>
      </x:c>
      <x:c r="AG37" s="101" t="str">
        <x:v>목표: 시제 목표가 콘텐츠 학습 목표와 직접 일치 (35/35); 유형: 2순위 선호 유형 (22/25); 시간: 12분이 평균 학습 시간의 1.5배 이내 (10/20); 수준: 사용자 레벨 2과 난이도 2가 일치 (20/20). 적용 항목 재환산 87점으로 판단했으며 최종 라벨은 high.</x:v>
      </x:c>
      <x:c r="AH37" s="101" t="str">
        <x:v>일반</x:v>
      </x:c>
      <x:c r="AI37" s="101" t="str">
        <x:v>Codex 초안</x:v>
      </x:c>
      <x:c r="AJ37" s="101" t="str"/>
    </x:row>
    <x:row r="38" ht="52" customHeight="1">
      <x:c r="A38" s="80" t="str">
        <x:v>user-04__content-04</x:v>
      </x:c>
      <x:c r="B38" s="80" t="str">
        <x:v>user-04</x:v>
      </x:c>
      <x:c r="C38" s="80" t="str">
        <x:v>짧은 퀴즈형</x:v>
      </x:c>
      <x:c r="D38" s="80" t="str">
        <x:v>기존 · 짧은 퀴즈 선호</x:v>
      </x:c>
      <x:c r="E38" s="80" t="str">
        <x:v>기존</x:v>
      </x:c>
      <x:c r="F38" s="80" t="n">
        <x:v>2</x:v>
      </x:c>
      <x:c r="G38" s="92" t="str">
        <x:v>시험 문법 오답을 짧게 교정</x:v>
      </x:c>
      <x:c r="H38" s="92" t="str">
        <x:v>문법 · 시제 · 관계절</x:v>
      </x:c>
      <x:c r="I38" s="92" t="str">
        <x:v>있음</x:v>
      </x:c>
      <x:c r="J38" s="92" t="str">
        <x:v>퀴즈 → 예문 읽기</x:v>
      </x:c>
      <x:c r="K38" s="92" t="str">
        <x:v>퀴즈 75% · 예문 읽기 100%</x:v>
      </x:c>
      <x:c r="L38" s="80" t="n">
        <x:v>8.3</x:v>
      </x:c>
      <x:c r="M38" s="80" t="str">
        <x:v>content-04</x:v>
      </x:c>
      <x:c r="N38" s="96" t="str">
        <x:v>현재완료 심화 문제</x:v>
      </x:c>
      <x:c r="O38" s="96" t="str">
        <x:v>심화 문제</x:v>
      </x:c>
      <x:c r="P38" s="96" t="n">
        <x:v>3</x:v>
      </x:c>
      <x:c r="Q38" s="96" t="n">
        <x:v>22</x:v>
      </x:c>
      <x:c r="R38" s="92" t="str">
        <x:v>현재완료 복합 문장에서 정확히 적용</x:v>
      </x:c>
      <x:c r="S38" s="92" t="str">
        <x:v>시제 · 문법</x:v>
      </x:c>
      <x:c r="T38" s="97" t="str">
        <x:v>직접 일치</x:v>
      </x:c>
      <x:c r="U38" s="86" t="n">
        <x:v>35</x:v>
      </x:c>
      <x:c r="V38" s="86" t="str">
        <x:v>N/A</x:v>
      </x:c>
      <x:c r="W38" s="86"/>
      <x:c r="X38" s="86" t="str">
        <x:v>부담</x:v>
      </x:c>
      <x:c r="Y38" s="86" t="n">
        <x:v>4</x:v>
      </x:c>
      <x:c r="Z38" s="86" t="str">
        <x:v>허용 범위</x:v>
      </x:c>
      <x:c r="AA38" s="86" t="n">
        <x:v>14</x:v>
      </x:c>
      <x:c r="AB38" s="86" t="n">
        <x:f>35+IF(W38="",0,25)+IF(Y38="",0,20)+20</x:f>
        <x:v>75</x:v>
      </x:c>
      <x:c r="AC38" s="104" t="n">
        <x:f>ROUND((U38+IF(W38="",0,W38)+IF(Y38="",0,Y38)+AA38)/AB38*100,1)</x:f>
        <x:v>70.7</x:v>
      </x:c>
      <x:c r="AD38" s="86" t="str">
        <x:f>IF(AC38&gt;=80,"high",IF(AC38&gt;=50,"medium","low"))</x:f>
        <x:v>medium</x:v>
      </x:c>
      <x:c r="AE38" s="89" t="str">
        <x:v>medium</x:v>
      </x:c>
      <x:c r="AF38" s="101" t="str">
        <x:v>루브릭 일치</x:v>
      </x:c>
      <x:c r="AG38" s="101" t="str">
        <x:v>목표: 시제 목표가 콘텐츠 학습 목표와 직접 일치 (35/35); 유형: 해당 유형 관찰 이력이 없어 비선호로 추측하지 않고 제외; 시간: 22분이 평균 8.3분의 1.5배를 초과 (4/20); 수준: 사용자 레벨과 난이도 차이가 1단계 (14/20). 적용 항목 재환산 70.7점으로 판단했으며 최종 라벨은 medium.</x:v>
      </x:c>
      <x:c r="AH38" s="101" t="str">
        <x:v>일반</x:v>
      </x:c>
      <x:c r="AI38" s="101" t="str">
        <x:v>Codex 초안</x:v>
      </x:c>
      <x:c r="AJ38" s="101" t="str"/>
    </x:row>
    <x:row r="39" ht="52" customHeight="1">
      <x:c r="A39" s="80" t="str">
        <x:v>user-04__content-05</x:v>
      </x:c>
      <x:c r="B39" s="80" t="str">
        <x:v>user-04</x:v>
      </x:c>
      <x:c r="C39" s="80" t="str">
        <x:v>짧은 퀴즈형</x:v>
      </x:c>
      <x:c r="D39" s="80" t="str">
        <x:v>기존 · 짧은 퀴즈 선호</x:v>
      </x:c>
      <x:c r="E39" s="80" t="str">
        <x:v>기존</x:v>
      </x:c>
      <x:c r="F39" s="80" t="n">
        <x:v>2</x:v>
      </x:c>
      <x:c r="G39" s="92" t="str">
        <x:v>시험 문법 오답을 짧게 교정</x:v>
      </x:c>
      <x:c r="H39" s="92" t="str">
        <x:v>문법 · 시제 · 관계절</x:v>
      </x:c>
      <x:c r="I39" s="92" t="str">
        <x:v>있음</x:v>
      </x:c>
      <x:c r="J39" s="92" t="str">
        <x:v>퀴즈 → 예문 읽기</x:v>
      </x:c>
      <x:c r="K39" s="92" t="str">
        <x:v>퀴즈 75% · 예문 읽기 100%</x:v>
      </x:c>
      <x:c r="L39" s="80" t="n">
        <x:v>8.3</x:v>
      </x:c>
      <x:c r="M39" s="80" t="str">
        <x:v>content-05</x:v>
      </x:c>
      <x:c r="N39" s="96" t="str">
        <x:v>현재완료 오답 교정</x:v>
      </x:c>
      <x:c r="O39" s="96" t="str">
        <x:v>퀴즈</x:v>
      </x:c>
      <x:c r="P39" s="96" t="n">
        <x:v>2</x:v>
      </x:c>
      <x:c r="Q39" s="96" t="n">
        <x:v>9</x:v>
      </x:c>
      <x:c r="R39" s="92" t="str">
        <x:v>현재완료 자주 틀리는 유형을 교정</x:v>
      </x:c>
      <x:c r="S39" s="92" t="str">
        <x:v>시제 · 문법</x:v>
      </x:c>
      <x:c r="T39" s="97" t="str">
        <x:v>직접 일치</x:v>
      </x:c>
      <x:c r="U39" s="86" t="n">
        <x:v>35</x:v>
      </x:c>
      <x:c r="V39" s="86" t="str">
        <x:v>매우 적합</x:v>
      </x:c>
      <x:c r="W39" s="86" t="n">
        <x:v>25</x:v>
      </x:c>
      <x:c r="X39" s="86" t="str">
        <x:v>적합</x:v>
      </x:c>
      <x:c r="Y39" s="86" t="n">
        <x:v>16</x:v>
      </x:c>
      <x:c r="Z39" s="86" t="str">
        <x:v>정확히 일치</x:v>
      </x:c>
      <x:c r="AA39" s="86" t="n">
        <x:v>20</x:v>
      </x:c>
      <x:c r="AB39" s="86" t="n">
        <x:f>35+IF(W39="",0,25)+IF(Y39="",0,20)+20</x:f>
        <x:v>100</x:v>
      </x:c>
      <x:c r="AC39" s="104" t="n">
        <x:f>ROUND((U39+IF(W39="",0,W39)+IF(Y39="",0,Y39)+AA39)/AB39*100,1)</x:f>
        <x:v>96</x:v>
      </x:c>
      <x:c r="AD39" s="86" t="str">
        <x:f>IF(AC39&gt;=80,"high",IF(AC39&gt;=50,"medium","low"))</x:f>
        <x:v>high</x:v>
      </x:c>
      <x:c r="AE39" s="89" t="str">
        <x:v>high</x:v>
      </x:c>
      <x:c r="AF39" s="101" t="str">
        <x:v>루브릭 일치</x:v>
      </x:c>
      <x:c r="AG39" s="101" t="str">
        <x:v>목표: 시제 목표가 콘텐츠 학습 목표와 직접 일치 (35/35); 유형: 1순위 선호이며 완료율 75% (25/25); 시간: 9분이 평균 학습 시간의 1.25배 이내 (16/20); 수준: 사용자 레벨 2과 난이도 2가 일치 (20/20). 적용 항목 재환산 96점으로 판단했으며 최종 라벨은 high.</x:v>
      </x:c>
      <x:c r="AH39" s="101" t="str">
        <x:v>일반</x:v>
      </x:c>
      <x:c r="AI39" s="101" t="str">
        <x:v>Codex 초안</x:v>
      </x:c>
      <x:c r="AJ39" s="101" t="str"/>
    </x:row>
    <x:row r="40" ht="52" customHeight="1">
      <x:c r="A40" s="80" t="str">
        <x:v>user-04__content-21</x:v>
      </x:c>
      <x:c r="B40" s="80" t="str">
        <x:v>user-04</x:v>
      </x:c>
      <x:c r="C40" s="80" t="str">
        <x:v>짧은 퀴즈형</x:v>
      </x:c>
      <x:c r="D40" s="80" t="str">
        <x:v>기존 · 짧은 퀴즈 선호</x:v>
      </x:c>
      <x:c r="E40" s="80" t="str">
        <x:v>기존</x:v>
      </x:c>
      <x:c r="F40" s="80" t="n">
        <x:v>2</x:v>
      </x:c>
      <x:c r="G40" s="92" t="str">
        <x:v>시험 문법 오답을 짧게 교정</x:v>
      </x:c>
      <x:c r="H40" s="92" t="str">
        <x:v>문법 · 시제 · 관계절</x:v>
      </x:c>
      <x:c r="I40" s="92" t="str">
        <x:v>있음</x:v>
      </x:c>
      <x:c r="J40" s="92" t="str">
        <x:v>퀴즈 → 예문 읽기</x:v>
      </x:c>
      <x:c r="K40" s="92" t="str">
        <x:v>퀴즈 75% · 예문 읽기 100%</x:v>
      </x:c>
      <x:c r="L40" s="80" t="n">
        <x:v>8.3</x:v>
      </x:c>
      <x:c r="M40" s="80" t="str">
        <x:v>content-21</x:v>
      </x:c>
      <x:c r="N40" s="96" t="str">
        <x:v>관계대명사 핵심 퀴즈</x:v>
      </x:c>
      <x:c r="O40" s="96" t="str">
        <x:v>퀴즈</x:v>
      </x:c>
      <x:c r="P40" s="96" t="n">
        <x:v>1</x:v>
      </x:c>
      <x:c r="Q40" s="96" t="n">
        <x:v>6</x:v>
      </x:c>
      <x:c r="R40" s="92" t="str">
        <x:v>관계대명사 핵심 규칙을 빠르게 확인</x:v>
      </x:c>
      <x:c r="S40" s="92" t="str">
        <x:v>관계절 · 문법</x:v>
      </x:c>
      <x:c r="T40" s="97" t="str">
        <x:v>직접 일치</x:v>
      </x:c>
      <x:c r="U40" s="86" t="n">
        <x:v>35</x:v>
      </x:c>
      <x:c r="V40" s="86" t="str">
        <x:v>매우 적합</x:v>
      </x:c>
      <x:c r="W40" s="86" t="n">
        <x:v>25</x:v>
      </x:c>
      <x:c r="X40" s="86" t="str">
        <x:v>매우 적합</x:v>
      </x:c>
      <x:c r="Y40" s="86" t="n">
        <x:v>20</x:v>
      </x:c>
      <x:c r="Z40" s="86" t="str">
        <x:v>허용 범위</x:v>
      </x:c>
      <x:c r="AA40" s="86" t="n">
        <x:v>14</x:v>
      </x:c>
      <x:c r="AB40" s="86" t="n">
        <x:f>35+IF(W40="",0,25)+IF(Y40="",0,20)+20</x:f>
        <x:v>100</x:v>
      </x:c>
      <x:c r="AC40" s="104" t="n">
        <x:f>ROUND((U40+IF(W40="",0,W40)+IF(Y40="",0,Y40)+AA40)/AB40*100,1)</x:f>
        <x:v>94</x:v>
      </x:c>
      <x:c r="AD40" s="86" t="str">
        <x:f>IF(AC40&gt;=80,"high",IF(AC40&gt;=50,"medium","low"))</x:f>
        <x:v>high</x:v>
      </x:c>
      <x:c r="AE40" s="89" t="str">
        <x:v>high</x:v>
      </x:c>
      <x:c r="AF40" s="101" t="str">
        <x:v>루브릭 일치</x:v>
      </x:c>
      <x:c r="AG40" s="101" t="str">
        <x:v>목표: 관계절 목표가 콘텐츠 학습 목표와 직접 일치 (35/35); 유형: 1순위 선호이며 완료율 75% (25/25); 시간: 6분이 평균 8.3분 이내 (20/20); 수준: 사용자 레벨과 난이도 차이가 1단계 (14/20). 적용 항목 재환산 94점으로 판단했으며 최종 라벨은 high.</x:v>
      </x:c>
      <x:c r="AH40" s="101" t="str">
        <x:v>일반</x:v>
      </x:c>
      <x:c r="AI40" s="101" t="str">
        <x:v>Codex 초안</x:v>
      </x:c>
      <x:c r="AJ40" s="101" t="str"/>
    </x:row>
    <x:row r="41" ht="52" customHeight="1">
      <x:c r="A41" s="80" t="str">
        <x:v>user-04__content-22</x:v>
      </x:c>
      <x:c r="B41" s="80" t="str">
        <x:v>user-04</x:v>
      </x:c>
      <x:c r="C41" s="80" t="str">
        <x:v>짧은 퀴즈형</x:v>
      </x:c>
      <x:c r="D41" s="80" t="str">
        <x:v>기존 · 짧은 퀴즈 선호</x:v>
      </x:c>
      <x:c r="E41" s="80" t="str">
        <x:v>기존</x:v>
      </x:c>
      <x:c r="F41" s="80" t="n">
        <x:v>2</x:v>
      </x:c>
      <x:c r="G41" s="92" t="str">
        <x:v>시험 문법 오답을 짧게 교정</x:v>
      </x:c>
      <x:c r="H41" s="92" t="str">
        <x:v>문법 · 시제 · 관계절</x:v>
      </x:c>
      <x:c r="I41" s="92" t="str">
        <x:v>있음</x:v>
      </x:c>
      <x:c r="J41" s="92" t="str">
        <x:v>퀴즈 → 예문 읽기</x:v>
      </x:c>
      <x:c r="K41" s="92" t="str">
        <x:v>퀴즈 75% · 예문 읽기 100%</x:v>
      </x:c>
      <x:c r="L41" s="80" t="n">
        <x:v>8.3</x:v>
      </x:c>
      <x:c r="M41" s="80" t="str">
        <x:v>content-22</x:v>
      </x:c>
      <x:c r="N41" s="96" t="str">
        <x:v>관계대명사 개념 강의</x:v>
      </x:c>
      <x:c r="O41" s="96" t="str">
        <x:v>영상 강의</x:v>
      </x:c>
      <x:c r="P41" s="96" t="n">
        <x:v>2</x:v>
      </x:c>
      <x:c r="Q41" s="96" t="n">
        <x:v>18</x:v>
      </x:c>
      <x:c r="R41" s="92" t="str">
        <x:v>관계대명사 대표 쓰임과 오류를 이해</x:v>
      </x:c>
      <x:c r="S41" s="92" t="str">
        <x:v>관계절 · 문법</x:v>
      </x:c>
      <x:c r="T41" s="97" t="str">
        <x:v>직접 일치</x:v>
      </x:c>
      <x:c r="U41" s="86" t="n">
        <x:v>35</x:v>
      </x:c>
      <x:c r="V41" s="86" t="str">
        <x:v>N/A</x:v>
      </x:c>
      <x:c r="W41" s="86"/>
      <x:c r="X41" s="86" t="str">
        <x:v>부담</x:v>
      </x:c>
      <x:c r="Y41" s="86" t="n">
        <x:v>4</x:v>
      </x:c>
      <x:c r="Z41" s="86" t="str">
        <x:v>정확히 일치</x:v>
      </x:c>
      <x:c r="AA41" s="86" t="n">
        <x:v>20</x:v>
      </x:c>
      <x:c r="AB41" s="86" t="n">
        <x:f>35+IF(W41="",0,25)+IF(Y41="",0,20)+20</x:f>
        <x:v>75</x:v>
      </x:c>
      <x:c r="AC41" s="104" t="n">
        <x:f>ROUND((U41+IF(W41="",0,W41)+IF(Y41="",0,Y41)+AA41)/AB41*100,1)</x:f>
        <x:v>78.7</x:v>
      </x:c>
      <x:c r="AD41" s="86" t="str">
        <x:f>IF(AC41&gt;=80,"high",IF(AC41&gt;=50,"medium","low"))</x:f>
        <x:v>medium</x:v>
      </x:c>
      <x:c r="AE41" s="89" t="str">
        <x:v>medium</x:v>
      </x:c>
      <x:c r="AF41" s="101" t="str">
        <x:v>루브릭 일치</x:v>
      </x:c>
      <x:c r="AG41" s="101" t="str">
        <x:v>목표: 관계절 목표가 콘텐츠 학습 목표와 직접 일치 (35/35); 유형: 해당 유형 관찰 이력이 없어 비선호로 추측하지 않고 제외; 시간: 18분이 평균 8.3분의 1.5배를 초과 (4/20); 수준: 사용자 레벨 2과 난이도 2가 일치 (20/20). 적용 항목 재환산 78.7점으로 판단했으며 최종 라벨은 medium.</x:v>
      </x:c>
      <x:c r="AH41" s="101" t="str">
        <x:v>일반</x:v>
      </x:c>
      <x:c r="AI41" s="101" t="str">
        <x:v>Codex 초안</x:v>
      </x:c>
      <x:c r="AJ41" s="101" t="str"/>
    </x:row>
    <x:row r="42" ht="52" customHeight="1">
      <x:c r="A42" s="80" t="str">
        <x:v>user-04__content-23</x:v>
      </x:c>
      <x:c r="B42" s="80" t="str">
        <x:v>user-04</x:v>
      </x:c>
      <x:c r="C42" s="80" t="str">
        <x:v>짧은 퀴즈형</x:v>
      </x:c>
      <x:c r="D42" s="80" t="str">
        <x:v>기존 · 짧은 퀴즈 선호</x:v>
      </x:c>
      <x:c r="E42" s="80" t="str">
        <x:v>기존</x:v>
      </x:c>
      <x:c r="F42" s="80" t="n">
        <x:v>2</x:v>
      </x:c>
      <x:c r="G42" s="92" t="str">
        <x:v>시험 문법 오답을 짧게 교정</x:v>
      </x:c>
      <x:c r="H42" s="92" t="str">
        <x:v>문법 · 시제 · 관계절</x:v>
      </x:c>
      <x:c r="I42" s="92" t="str">
        <x:v>있음</x:v>
      </x:c>
      <x:c r="J42" s="92" t="str">
        <x:v>퀴즈 → 예문 읽기</x:v>
      </x:c>
      <x:c r="K42" s="92" t="str">
        <x:v>퀴즈 75% · 예문 읽기 100%</x:v>
      </x:c>
      <x:c r="L42" s="80" t="n">
        <x:v>8.3</x:v>
      </x:c>
      <x:c r="M42" s="80" t="str">
        <x:v>content-23</x:v>
      </x:c>
      <x:c r="N42" s="96" t="str">
        <x:v>관계대명사 예문 읽기</x:v>
      </x:c>
      <x:c r="O42" s="96" t="str">
        <x:v>예문 읽기</x:v>
      </x:c>
      <x:c r="P42" s="96" t="n">
        <x:v>2</x:v>
      </x:c>
      <x:c r="Q42" s="96" t="n">
        <x:v>12</x:v>
      </x:c>
      <x:c r="R42" s="92" t="str">
        <x:v>관계대명사 문맥 속 쓰임을 구별</x:v>
      </x:c>
      <x:c r="S42" s="92" t="str">
        <x:v>관계절 · 문법</x:v>
      </x:c>
      <x:c r="T42" s="97" t="str">
        <x:v>직접 일치</x:v>
      </x:c>
      <x:c r="U42" s="86" t="n">
        <x:v>35</x:v>
      </x:c>
      <x:c r="V42" s="86" t="str">
        <x:v>적합</x:v>
      </x:c>
      <x:c r="W42" s="86" t="n">
        <x:v>22</x:v>
      </x:c>
      <x:c r="X42" s="86" t="str">
        <x:v>보통</x:v>
      </x:c>
      <x:c r="Y42" s="86" t="n">
        <x:v>10</x:v>
      </x:c>
      <x:c r="Z42" s="86" t="str">
        <x:v>정확히 일치</x:v>
      </x:c>
      <x:c r="AA42" s="86" t="n">
        <x:v>20</x:v>
      </x:c>
      <x:c r="AB42" s="86" t="n">
        <x:f>35+IF(W42="",0,25)+IF(Y42="",0,20)+20</x:f>
        <x:v>100</x:v>
      </x:c>
      <x:c r="AC42" s="104" t="n">
        <x:f>ROUND((U42+IF(W42="",0,W42)+IF(Y42="",0,Y42)+AA42)/AB42*100,1)</x:f>
        <x:v>87</x:v>
      </x:c>
      <x:c r="AD42" s="86" t="str">
        <x:f>IF(AC42&gt;=80,"high",IF(AC42&gt;=50,"medium","low"))</x:f>
        <x:v>high</x:v>
      </x:c>
      <x:c r="AE42" s="89" t="str">
        <x:v>high</x:v>
      </x:c>
      <x:c r="AF42" s="101" t="str">
        <x:v>루브릭 일치</x:v>
      </x:c>
      <x:c r="AG42" s="101" t="str">
        <x:v>목표: 관계절 목표가 콘텐츠 학습 목표와 직접 일치 (35/35); 유형: 2순위 선호 유형 (22/25); 시간: 12분이 평균 학습 시간의 1.5배 이내 (10/20); 수준: 사용자 레벨 2과 난이도 2가 일치 (20/20). 적용 항목 재환산 87점으로 판단했으며 최종 라벨은 high.</x:v>
      </x:c>
      <x:c r="AH42" s="101" t="str">
        <x:v>일반</x:v>
      </x:c>
      <x:c r="AI42" s="101" t="str">
        <x:v>Codex 초안</x:v>
      </x:c>
      <x:c r="AJ42" s="101" t="str"/>
    </x:row>
    <x:row r="43" ht="52" customHeight="1">
      <x:c r="A43" s="80" t="str">
        <x:v>user-04__content-24</x:v>
      </x:c>
      <x:c r="B43" s="80" t="str">
        <x:v>user-04</x:v>
      </x:c>
      <x:c r="C43" s="80" t="str">
        <x:v>짧은 퀴즈형</x:v>
      </x:c>
      <x:c r="D43" s="80" t="str">
        <x:v>기존 · 짧은 퀴즈 선호</x:v>
      </x:c>
      <x:c r="E43" s="80" t="str">
        <x:v>기존</x:v>
      </x:c>
      <x:c r="F43" s="80" t="n">
        <x:v>2</x:v>
      </x:c>
      <x:c r="G43" s="92" t="str">
        <x:v>시험 문법 오답을 짧게 교정</x:v>
      </x:c>
      <x:c r="H43" s="92" t="str">
        <x:v>문법 · 시제 · 관계절</x:v>
      </x:c>
      <x:c r="I43" s="92" t="str">
        <x:v>있음</x:v>
      </x:c>
      <x:c r="J43" s="92" t="str">
        <x:v>퀴즈 → 예문 읽기</x:v>
      </x:c>
      <x:c r="K43" s="92" t="str">
        <x:v>퀴즈 75% · 예문 읽기 100%</x:v>
      </x:c>
      <x:c r="L43" s="80" t="n">
        <x:v>8.3</x:v>
      </x:c>
      <x:c r="M43" s="80" t="str">
        <x:v>content-24</x:v>
      </x:c>
      <x:c r="N43" s="96" t="str">
        <x:v>관계대명사 심화 문제</x:v>
      </x:c>
      <x:c r="O43" s="96" t="str">
        <x:v>심화 문제</x:v>
      </x:c>
      <x:c r="P43" s="96" t="n">
        <x:v>3</x:v>
      </x:c>
      <x:c r="Q43" s="96" t="n">
        <x:v>22</x:v>
      </x:c>
      <x:c r="R43" s="92" t="str">
        <x:v>관계대명사 복합 문장에서 정확히 적용</x:v>
      </x:c>
      <x:c r="S43" s="92" t="str">
        <x:v>관계절 · 문법</x:v>
      </x:c>
      <x:c r="T43" s="97" t="str">
        <x:v>직접 일치</x:v>
      </x:c>
      <x:c r="U43" s="86" t="n">
        <x:v>35</x:v>
      </x:c>
      <x:c r="V43" s="86" t="str">
        <x:v>N/A</x:v>
      </x:c>
      <x:c r="W43" s="86"/>
      <x:c r="X43" s="86" t="str">
        <x:v>부담</x:v>
      </x:c>
      <x:c r="Y43" s="86" t="n">
        <x:v>4</x:v>
      </x:c>
      <x:c r="Z43" s="86" t="str">
        <x:v>허용 범위</x:v>
      </x:c>
      <x:c r="AA43" s="86" t="n">
        <x:v>14</x:v>
      </x:c>
      <x:c r="AB43" s="86" t="n">
        <x:f>35+IF(W43="",0,25)+IF(Y43="",0,20)+20</x:f>
        <x:v>75</x:v>
      </x:c>
      <x:c r="AC43" s="104" t="n">
        <x:f>ROUND((U43+IF(W43="",0,W43)+IF(Y43="",0,Y43)+AA43)/AB43*100,1)</x:f>
        <x:v>70.7</x:v>
      </x:c>
      <x:c r="AD43" s="86" t="str">
        <x:f>IF(AC43&gt;=80,"high",IF(AC43&gt;=50,"medium","low"))</x:f>
        <x:v>medium</x:v>
      </x:c>
      <x:c r="AE43" s="89" t="str">
        <x:v>medium</x:v>
      </x:c>
      <x:c r="AF43" s="101" t="str">
        <x:v>루브릭 일치</x:v>
      </x:c>
      <x:c r="AG43" s="101" t="str">
        <x:v>목표: 관계절 목표가 콘텐츠 학습 목표와 직접 일치 (35/35); 유형: 해당 유형 관찰 이력이 없어 비선호로 추측하지 않고 제외; 시간: 22분이 평균 8.3분의 1.5배를 초과 (4/20); 수준: 사용자 레벨과 난이도 차이가 1단계 (14/20). 적용 항목 재환산 70.7점으로 판단했으며 최종 라벨은 medium.</x:v>
      </x:c>
      <x:c r="AH43" s="101" t="str">
        <x:v>일반</x:v>
      </x:c>
      <x:c r="AI43" s="101" t="str">
        <x:v>Codex 초안</x:v>
      </x:c>
      <x:c r="AJ43" s="101" t="str"/>
    </x:row>
    <x:row r="44" ht="52" customHeight="1">
      <x:c r="A44" s="80" t="str">
        <x:v>user-04__content-25</x:v>
      </x:c>
      <x:c r="B44" s="80" t="str">
        <x:v>user-04</x:v>
      </x:c>
      <x:c r="C44" s="80" t="str">
        <x:v>짧은 퀴즈형</x:v>
      </x:c>
      <x:c r="D44" s="80" t="str">
        <x:v>기존 · 짧은 퀴즈 선호</x:v>
      </x:c>
      <x:c r="E44" s="80" t="str">
        <x:v>기존</x:v>
      </x:c>
      <x:c r="F44" s="80" t="n">
        <x:v>2</x:v>
      </x:c>
      <x:c r="G44" s="92" t="str">
        <x:v>시험 문법 오답을 짧게 교정</x:v>
      </x:c>
      <x:c r="H44" s="92" t="str">
        <x:v>문법 · 시제 · 관계절</x:v>
      </x:c>
      <x:c r="I44" s="92" t="str">
        <x:v>있음</x:v>
      </x:c>
      <x:c r="J44" s="92" t="str">
        <x:v>퀴즈 → 예문 읽기</x:v>
      </x:c>
      <x:c r="K44" s="92" t="str">
        <x:v>퀴즈 75% · 예문 읽기 100%</x:v>
      </x:c>
      <x:c r="L44" s="80" t="n">
        <x:v>8.3</x:v>
      </x:c>
      <x:c r="M44" s="80" t="str">
        <x:v>content-25</x:v>
      </x:c>
      <x:c r="N44" s="96" t="str">
        <x:v>관계대명사 오답 교정</x:v>
      </x:c>
      <x:c r="O44" s="96" t="str">
        <x:v>퀴즈</x:v>
      </x:c>
      <x:c r="P44" s="96" t="n">
        <x:v>2</x:v>
      </x:c>
      <x:c r="Q44" s="96" t="n">
        <x:v>9</x:v>
      </x:c>
      <x:c r="R44" s="92" t="str">
        <x:v>관계대명사 자주 틀리는 유형을 교정</x:v>
      </x:c>
      <x:c r="S44" s="92" t="str">
        <x:v>관계절 · 문법</x:v>
      </x:c>
      <x:c r="T44" s="97" t="str">
        <x:v>직접 일치</x:v>
      </x:c>
      <x:c r="U44" s="86" t="n">
        <x:v>35</x:v>
      </x:c>
      <x:c r="V44" s="86" t="str">
        <x:v>매우 적합</x:v>
      </x:c>
      <x:c r="W44" s="86" t="n">
        <x:v>25</x:v>
      </x:c>
      <x:c r="X44" s="86" t="str">
        <x:v>적합</x:v>
      </x:c>
      <x:c r="Y44" s="86" t="n">
        <x:v>16</x:v>
      </x:c>
      <x:c r="Z44" s="86" t="str">
        <x:v>정확히 일치</x:v>
      </x:c>
      <x:c r="AA44" s="86" t="n">
        <x:v>20</x:v>
      </x:c>
      <x:c r="AB44" s="86" t="n">
        <x:f>35+IF(W44="",0,25)+IF(Y44="",0,20)+20</x:f>
        <x:v>100</x:v>
      </x:c>
      <x:c r="AC44" s="104" t="n">
        <x:f>ROUND((U44+IF(W44="",0,W44)+IF(Y44="",0,Y44)+AA44)/AB44*100,1)</x:f>
        <x:v>96</x:v>
      </x:c>
      <x:c r="AD44" s="86" t="str">
        <x:f>IF(AC44&gt;=80,"high",IF(AC44&gt;=50,"medium","low"))</x:f>
        <x:v>high</x:v>
      </x:c>
      <x:c r="AE44" s="89" t="str">
        <x:v>high</x:v>
      </x:c>
      <x:c r="AF44" s="101" t="str">
        <x:v>루브릭 일치</x:v>
      </x:c>
      <x:c r="AG44" s="101" t="str">
        <x:v>목표: 관계절 목표가 콘텐츠 학습 목표와 직접 일치 (35/35); 유형: 1순위 선호이며 완료율 75% (25/25); 시간: 9분이 평균 학습 시간의 1.25배 이내 (16/20); 수준: 사용자 레벨 2과 난이도 2가 일치 (20/20). 적용 항목 재환산 96점으로 판단했으며 최종 라벨은 high.</x:v>
      </x:c>
      <x:c r="AH44" s="101" t="str">
        <x:v>일반</x:v>
      </x:c>
      <x:c r="AI44" s="101" t="str">
        <x:v>Codex 초안</x:v>
      </x:c>
      <x:c r="AJ44" s="101" t="str"/>
    </x:row>
    <x:row r="45" ht="52" customHeight="1">
      <x:c r="A45" s="80" t="str">
        <x:v>user-05__content-17</x:v>
      </x:c>
      <x:c r="B45" s="80" t="str">
        <x:v>user-05</x:v>
      </x:c>
      <x:c r="C45" s="80" t="str">
        <x:v>긴 강의형</x:v>
      </x:c>
      <x:c r="D45" s="80" t="str">
        <x:v>기존 · 긴 개념 강의 선호</x:v>
      </x:c>
      <x:c r="E45" s="80" t="str">
        <x:v>기존</x:v>
      </x:c>
      <x:c r="F45" s="80" t="n">
        <x:v>3</x:v>
      </x:c>
      <x:c r="G45" s="92" t="str">
        <x:v>고급 문법 구조를 깊이 이해</x:v>
      </x:c>
      <x:c r="H45" s="92" t="str">
        <x:v>문법 · 수동태 · 가정법</x:v>
      </x:c>
      <x:c r="I45" s="92" t="str">
        <x:v>있음</x:v>
      </x:c>
      <x:c r="J45" s="92" t="str">
        <x:v>영상 강의 → 심화 문제</x:v>
      </x:c>
      <x:c r="K45" s="92" t="str">
        <x:v>영상 강의 75% · 심화 문제 100%</x:v>
      </x:c>
      <x:c r="L45" s="80" t="n">
        <x:v>19</x:v>
      </x:c>
      <x:c r="M45" s="80" t="str">
        <x:v>content-17</x:v>
      </x:c>
      <x:c r="N45" s="96" t="str">
        <x:v>수동태 개념 강의</x:v>
      </x:c>
      <x:c r="O45" s="96" t="str">
        <x:v>영상 강의</x:v>
      </x:c>
      <x:c r="P45" s="96" t="n">
        <x:v>2</x:v>
      </x:c>
      <x:c r="Q45" s="96" t="n">
        <x:v>18</x:v>
      </x:c>
      <x:c r="R45" s="92" t="str">
        <x:v>수동태 대표 쓰임과 오류를 이해</x:v>
      </x:c>
      <x:c r="S45" s="92" t="str">
        <x:v>수동태 · 문법</x:v>
      </x:c>
      <x:c r="T45" s="97" t="str">
        <x:v>직접 일치</x:v>
      </x:c>
      <x:c r="U45" s="86" t="n">
        <x:v>35</x:v>
      </x:c>
      <x:c r="V45" s="86" t="str">
        <x:v>매우 적합</x:v>
      </x:c>
      <x:c r="W45" s="86" t="n">
        <x:v>25</x:v>
      </x:c>
      <x:c r="X45" s="86" t="str">
        <x:v>매우 적합</x:v>
      </x:c>
      <x:c r="Y45" s="86" t="n">
        <x:v>20</x:v>
      </x:c>
      <x:c r="Z45" s="86" t="str">
        <x:v>허용 범위</x:v>
      </x:c>
      <x:c r="AA45" s="86" t="n">
        <x:v>14</x:v>
      </x:c>
      <x:c r="AB45" s="86" t="n">
        <x:f>35+IF(W45="",0,25)+IF(Y45="",0,20)+20</x:f>
        <x:v>100</x:v>
      </x:c>
      <x:c r="AC45" s="104" t="n">
        <x:f>ROUND((U45+IF(W45="",0,W45)+IF(Y45="",0,Y45)+AA45)/AB45*100,1)</x:f>
        <x:v>94</x:v>
      </x:c>
      <x:c r="AD45" s="86" t="str">
        <x:f>IF(AC45&gt;=80,"high",IF(AC45&gt;=50,"medium","low"))</x:f>
        <x:v>high</x:v>
      </x:c>
      <x:c r="AE45" s="89" t="str">
        <x:v>high</x:v>
      </x:c>
      <x:c r="AF45" s="101" t="str">
        <x:v>루브릭 일치</x:v>
      </x:c>
      <x:c r="AG45" s="101" t="str">
        <x:v>목표: 수동태 목표가 콘텐츠 학습 목표와 직접 일치 (35/35); 유형: 1순위 선호이며 완료율 75% (25/25); 시간: 18분이 평균 19분 이내 (20/20); 수준: 사용자 레벨과 난이도 차이가 1단계 (14/20). 적용 항목 재환산 94점으로 판단했으며 최종 라벨은 high.</x:v>
      </x:c>
      <x:c r="AH45" s="101" t="str">
        <x:v>일반</x:v>
      </x:c>
      <x:c r="AI45" s="101" t="str">
        <x:v>Codex 초안</x:v>
      </x:c>
      <x:c r="AJ45" s="101" t="str"/>
    </x:row>
    <x:row r="46" ht="52" customHeight="1">
      <x:c r="A46" s="80" t="str">
        <x:v>user-05__content-18</x:v>
      </x:c>
      <x:c r="B46" s="80" t="str">
        <x:v>user-05</x:v>
      </x:c>
      <x:c r="C46" s="80" t="str">
        <x:v>긴 강의형</x:v>
      </x:c>
      <x:c r="D46" s="80" t="str">
        <x:v>기존 · 긴 개념 강의 선호</x:v>
      </x:c>
      <x:c r="E46" s="80" t="str">
        <x:v>기존</x:v>
      </x:c>
      <x:c r="F46" s="80" t="n">
        <x:v>3</x:v>
      </x:c>
      <x:c r="G46" s="92" t="str">
        <x:v>고급 문법 구조를 깊이 이해</x:v>
      </x:c>
      <x:c r="H46" s="92" t="str">
        <x:v>문법 · 수동태 · 가정법</x:v>
      </x:c>
      <x:c r="I46" s="92" t="str">
        <x:v>있음</x:v>
      </x:c>
      <x:c r="J46" s="92" t="str">
        <x:v>영상 강의 → 심화 문제</x:v>
      </x:c>
      <x:c r="K46" s="92" t="str">
        <x:v>영상 강의 75% · 심화 문제 100%</x:v>
      </x:c>
      <x:c r="L46" s="80" t="n">
        <x:v>19</x:v>
      </x:c>
      <x:c r="M46" s="80" t="str">
        <x:v>content-18</x:v>
      </x:c>
      <x:c r="N46" s="96" t="str">
        <x:v>수동태 예문 읽기</x:v>
      </x:c>
      <x:c r="O46" s="96" t="str">
        <x:v>예문 읽기</x:v>
      </x:c>
      <x:c r="P46" s="96" t="n">
        <x:v>2</x:v>
      </x:c>
      <x:c r="Q46" s="96" t="n">
        <x:v>12</x:v>
      </x:c>
      <x:c r="R46" s="92" t="str">
        <x:v>수동태 문맥 속 쓰임을 구별</x:v>
      </x:c>
      <x:c r="S46" s="92" t="str">
        <x:v>수동태 · 문법</x:v>
      </x:c>
      <x:c r="T46" s="97" t="str">
        <x:v>직접 일치</x:v>
      </x:c>
      <x:c r="U46" s="86" t="n">
        <x:v>35</x:v>
      </x:c>
      <x:c r="V46" s="86" t="str">
        <x:v>N/A</x:v>
      </x:c>
      <x:c r="W46" s="86"/>
      <x:c r="X46" s="86" t="str">
        <x:v>매우 적합</x:v>
      </x:c>
      <x:c r="Y46" s="86" t="n">
        <x:v>20</x:v>
      </x:c>
      <x:c r="Z46" s="86" t="str">
        <x:v>허용 범위</x:v>
      </x:c>
      <x:c r="AA46" s="86" t="n">
        <x:v>14</x:v>
      </x:c>
      <x:c r="AB46" s="86" t="n">
        <x:f>35+IF(W46="",0,25)+IF(Y46="",0,20)+20</x:f>
        <x:v>75</x:v>
      </x:c>
      <x:c r="AC46" s="104" t="n">
        <x:f>ROUND((U46+IF(W46="",0,W46)+IF(Y46="",0,Y46)+AA46)/AB46*100,1)</x:f>
        <x:v>92</x:v>
      </x:c>
      <x:c r="AD46" s="86" t="str">
        <x:f>IF(AC46&gt;=80,"high",IF(AC46&gt;=50,"medium","low"))</x:f>
        <x:v>high</x:v>
      </x:c>
      <x:c r="AE46" s="89" t="str">
        <x:v>medium</x:v>
      </x:c>
      <x:c r="AF46" s="101" t="str">
        <x:v>high → medium 정성 조정</x:v>
      </x:c>
      <x:c r="AG46" s="101" t="str">
        <x:v>목표: 수동태 목표가 콘텐츠 학습 목표와 직접 일치 (35/35); 유형: 해당 유형 관찰 이력이 없어 비선호로 추측하지 않고 제외; 시간: 12분이 평균 19분 이내 (20/20); 수준: 사용자 레벨과 난이도 차이가 1단계 (14/20). 적용 항목 재환산 92점으로 판단했으며 최종 라벨은 medium.</x:v>
      </x:c>
      <x:c r="AH46" s="101" t="str">
        <x:v>우선 검토</x:v>
      </x:c>
      <x:c r="AI46" s="101" t="str">
        <x:v>Codex 초안</x:v>
      </x:c>
      <x:c r="AJ46" s="101" t="str"/>
    </x:row>
    <x:row r="47" ht="52" customHeight="1">
      <x:c r="A47" s="80" t="str">
        <x:v>user-05__content-20</x:v>
      </x:c>
      <x:c r="B47" s="80" t="str">
        <x:v>user-05</x:v>
      </x:c>
      <x:c r="C47" s="80" t="str">
        <x:v>긴 강의형</x:v>
      </x:c>
      <x:c r="D47" s="80" t="str">
        <x:v>기존 · 긴 개념 강의 선호</x:v>
      </x:c>
      <x:c r="E47" s="80" t="str">
        <x:v>기존</x:v>
      </x:c>
      <x:c r="F47" s="80" t="n">
        <x:v>3</x:v>
      </x:c>
      <x:c r="G47" s="92" t="str">
        <x:v>고급 문법 구조를 깊이 이해</x:v>
      </x:c>
      <x:c r="H47" s="92" t="str">
        <x:v>문법 · 수동태 · 가정법</x:v>
      </x:c>
      <x:c r="I47" s="92" t="str">
        <x:v>있음</x:v>
      </x:c>
      <x:c r="J47" s="92" t="str">
        <x:v>영상 강의 → 심화 문제</x:v>
      </x:c>
      <x:c r="K47" s="92" t="str">
        <x:v>영상 강의 75% · 심화 문제 100%</x:v>
      </x:c>
      <x:c r="L47" s="80" t="n">
        <x:v>19</x:v>
      </x:c>
      <x:c r="M47" s="80" t="str">
        <x:v>content-20</x:v>
      </x:c>
      <x:c r="N47" s="96" t="str">
        <x:v>수동태 오답 교정</x:v>
      </x:c>
      <x:c r="O47" s="96" t="str">
        <x:v>퀴즈</x:v>
      </x:c>
      <x:c r="P47" s="96" t="n">
        <x:v>2</x:v>
      </x:c>
      <x:c r="Q47" s="96" t="n">
        <x:v>9</x:v>
      </x:c>
      <x:c r="R47" s="92" t="str">
        <x:v>수동태 자주 틀리는 유형을 교정</x:v>
      </x:c>
      <x:c r="S47" s="92" t="str">
        <x:v>수동태 · 문법</x:v>
      </x:c>
      <x:c r="T47" s="97" t="str">
        <x:v>직접 일치</x:v>
      </x:c>
      <x:c r="U47" s="86" t="n">
        <x:v>35</x:v>
      </x:c>
      <x:c r="V47" s="86" t="str">
        <x:v>N/A</x:v>
      </x:c>
      <x:c r="W47" s="86"/>
      <x:c r="X47" s="86" t="str">
        <x:v>매우 적합</x:v>
      </x:c>
      <x:c r="Y47" s="86" t="n">
        <x:v>20</x:v>
      </x:c>
      <x:c r="Z47" s="86" t="str">
        <x:v>허용 범위</x:v>
      </x:c>
      <x:c r="AA47" s="86" t="n">
        <x:v>14</x:v>
      </x:c>
      <x:c r="AB47" s="86" t="n">
        <x:f>35+IF(W47="",0,25)+IF(Y47="",0,20)+20</x:f>
        <x:v>75</x:v>
      </x:c>
      <x:c r="AC47" s="104" t="n">
        <x:f>ROUND((U47+IF(W47="",0,W47)+IF(Y47="",0,Y47)+AA47)/AB47*100,1)</x:f>
        <x:v>92</x:v>
      </x:c>
      <x:c r="AD47" s="86" t="str">
        <x:f>IF(AC47&gt;=80,"high",IF(AC47&gt;=50,"medium","low"))</x:f>
        <x:v>high</x:v>
      </x:c>
      <x:c r="AE47" s="89" t="str">
        <x:v>medium</x:v>
      </x:c>
      <x:c r="AF47" s="101" t="str">
        <x:v>high → medium 정성 조정</x:v>
      </x:c>
      <x:c r="AG47" s="101" t="str">
        <x:v>목표: 수동태 목표가 콘텐츠 학습 목표와 직접 일치 (35/35); 유형: 해당 유형 관찰 이력이 없어 비선호로 추측하지 않고 제외; 시간: 9분이 평균 19분 이내 (20/20); 수준: 사용자 레벨과 난이도 차이가 1단계 (14/20). 적용 항목 재환산 92점으로 판단했으며 최종 라벨은 medium.</x:v>
      </x:c>
      <x:c r="AH47" s="101" t="str">
        <x:v>우선 검토</x:v>
      </x:c>
      <x:c r="AI47" s="101" t="str">
        <x:v>Codex 초안</x:v>
      </x:c>
      <x:c r="AJ47" s="101" t="str"/>
    </x:row>
    <x:row r="48" ht="52" customHeight="1">
      <x:c r="A48" s="80" t="str">
        <x:v>user-05__content-07</x:v>
      </x:c>
      <x:c r="B48" s="80" t="str">
        <x:v>user-05</x:v>
      </x:c>
      <x:c r="C48" s="80" t="str">
        <x:v>긴 강의형</x:v>
      </x:c>
      <x:c r="D48" s="80" t="str">
        <x:v>기존 · 긴 개념 강의 선호</x:v>
      </x:c>
      <x:c r="E48" s="80" t="str">
        <x:v>기존</x:v>
      </x:c>
      <x:c r="F48" s="80" t="n">
        <x:v>3</x:v>
      </x:c>
      <x:c r="G48" s="92" t="str">
        <x:v>고급 문법 구조를 깊이 이해</x:v>
      </x:c>
      <x:c r="H48" s="92" t="str">
        <x:v>문법 · 수동태 · 가정법</x:v>
      </x:c>
      <x:c r="I48" s="92" t="str">
        <x:v>있음</x:v>
      </x:c>
      <x:c r="J48" s="92" t="str">
        <x:v>영상 강의 → 심화 문제</x:v>
      </x:c>
      <x:c r="K48" s="92" t="str">
        <x:v>영상 강의 75% · 심화 문제 100%</x:v>
      </x:c>
      <x:c r="L48" s="80" t="n">
        <x:v>19</x:v>
      </x:c>
      <x:c r="M48" s="80" t="str">
        <x:v>content-07</x:v>
      </x:c>
      <x:c r="N48" s="96" t="str">
        <x:v>과거완료 개념 강의</x:v>
      </x:c>
      <x:c r="O48" s="96" t="str">
        <x:v>영상 강의</x:v>
      </x:c>
      <x:c r="P48" s="96" t="n">
        <x:v>2</x:v>
      </x:c>
      <x:c r="Q48" s="96" t="n">
        <x:v>18</x:v>
      </x:c>
      <x:c r="R48" s="92" t="str">
        <x:v>과거완료 대표 쓰임과 오류를 이해</x:v>
      </x:c>
      <x:c r="S48" s="92" t="str">
        <x:v>시제 · 문법</x:v>
      </x:c>
      <x:c r="T48" s="97" t="str">
        <x:v>넓은 목표 직접 지원</x:v>
      </x:c>
      <x:c r="U48" s="86" t="n">
        <x:v>28</x:v>
      </x:c>
      <x:c r="V48" s="86" t="str">
        <x:v>매우 적합</x:v>
      </x:c>
      <x:c r="W48" s="86" t="n">
        <x:v>25</x:v>
      </x:c>
      <x:c r="X48" s="86" t="str">
        <x:v>매우 적합</x:v>
      </x:c>
      <x:c r="Y48" s="86" t="n">
        <x:v>20</x:v>
      </x:c>
      <x:c r="Z48" s="86" t="str">
        <x:v>허용 범위</x:v>
      </x:c>
      <x:c r="AA48" s="86" t="n">
        <x:v>14</x:v>
      </x:c>
      <x:c r="AB48" s="86" t="n">
        <x:f>35+IF(W48="",0,25)+IF(Y48="",0,20)+20</x:f>
        <x:v>100</x:v>
      </x:c>
      <x:c r="AC48" s="104" t="n">
        <x:f>ROUND((U48+IF(W48="",0,W48)+IF(Y48="",0,Y48)+AA48)/AB48*100,1)</x:f>
        <x:v>87</x:v>
      </x:c>
      <x:c r="AD48" s="86" t="str">
        <x:f>IF(AC48&gt;=80,"high",IF(AC48&gt;=50,"medium","low"))</x:f>
        <x:v>high</x:v>
      </x:c>
      <x:c r="AE48" s="89" t="str">
        <x:v>high</x:v>
      </x:c>
      <x:c r="AF48" s="101" t="str">
        <x:v>루브릭 일치</x:v>
      </x:c>
      <x:c r="AG48" s="101" t="str">
        <x:v>목표: 사용자의 넓은 문법 목표를 직접 지원하지만 세부 개념은 명시되지 않음 (28/35); 유형: 1순위 선호이며 완료율 75% (25/25); 시간: 18분이 평균 19분 이내 (20/20); 수준: 사용자 레벨과 난이도 차이가 1단계 (14/20). 적용 항목 재환산 87점으로 판단했으며 최종 라벨은 high.</x:v>
      </x:c>
      <x:c r="AH48" s="101" t="str">
        <x:v>일반</x:v>
      </x:c>
      <x:c r="AI48" s="101" t="str">
        <x:v>Codex 초안</x:v>
      </x:c>
      <x:c r="AJ48" s="101" t="str"/>
    </x:row>
    <x:row r="49" ht="52" customHeight="1">
      <x:c r="A49" s="80" t="str">
        <x:v>user-05__content-09</x:v>
      </x:c>
      <x:c r="B49" s="80" t="str">
        <x:v>user-05</x:v>
      </x:c>
      <x:c r="C49" s="80" t="str">
        <x:v>긴 강의형</x:v>
      </x:c>
      <x:c r="D49" s="80" t="str">
        <x:v>기존 · 긴 개념 강의 선호</x:v>
      </x:c>
      <x:c r="E49" s="80" t="str">
        <x:v>기존</x:v>
      </x:c>
      <x:c r="F49" s="80" t="n">
        <x:v>3</x:v>
      </x:c>
      <x:c r="G49" s="92" t="str">
        <x:v>고급 문법 구조를 깊이 이해</x:v>
      </x:c>
      <x:c r="H49" s="92" t="str">
        <x:v>문법 · 수동태 · 가정법</x:v>
      </x:c>
      <x:c r="I49" s="92" t="str">
        <x:v>있음</x:v>
      </x:c>
      <x:c r="J49" s="92" t="str">
        <x:v>영상 강의 → 심화 문제</x:v>
      </x:c>
      <x:c r="K49" s="92" t="str">
        <x:v>영상 강의 75% · 심화 문제 100%</x:v>
      </x:c>
      <x:c r="L49" s="80" t="n">
        <x:v>19</x:v>
      </x:c>
      <x:c r="M49" s="80" t="str">
        <x:v>content-09</x:v>
      </x:c>
      <x:c r="N49" s="96" t="str">
        <x:v>과거완료 심화 문제</x:v>
      </x:c>
      <x:c r="O49" s="96" t="str">
        <x:v>심화 문제</x:v>
      </x:c>
      <x:c r="P49" s="96" t="n">
        <x:v>3</x:v>
      </x:c>
      <x:c r="Q49" s="96" t="n">
        <x:v>22</x:v>
      </x:c>
      <x:c r="R49" s="92" t="str">
        <x:v>과거완료 복합 문장에서 정확히 적용</x:v>
      </x:c>
      <x:c r="S49" s="92" t="str">
        <x:v>시제 · 문법</x:v>
      </x:c>
      <x:c r="T49" s="97" t="str">
        <x:v>넓은 목표 직접 지원</x:v>
      </x:c>
      <x:c r="U49" s="86" t="n">
        <x:v>28</x:v>
      </x:c>
      <x:c r="V49" s="86" t="str">
        <x:v>적합</x:v>
      </x:c>
      <x:c r="W49" s="86" t="n">
        <x:v>22</x:v>
      </x:c>
      <x:c r="X49" s="86" t="str">
        <x:v>적합</x:v>
      </x:c>
      <x:c r="Y49" s="86" t="n">
        <x:v>16</x:v>
      </x:c>
      <x:c r="Z49" s="86" t="str">
        <x:v>정확히 일치</x:v>
      </x:c>
      <x:c r="AA49" s="86" t="n">
        <x:v>20</x:v>
      </x:c>
      <x:c r="AB49" s="86" t="n">
        <x:f>35+IF(W49="",0,25)+IF(Y49="",0,20)+20</x:f>
        <x:v>100</x:v>
      </x:c>
      <x:c r="AC49" s="104" t="n">
        <x:f>ROUND((U49+IF(W49="",0,W49)+IF(Y49="",0,Y49)+AA49)/AB49*100,1)</x:f>
        <x:v>86</x:v>
      </x:c>
      <x:c r="AD49" s="86" t="str">
        <x:f>IF(AC49&gt;=80,"high",IF(AC49&gt;=50,"medium","low"))</x:f>
        <x:v>high</x:v>
      </x:c>
      <x:c r="AE49" s="89" t="str">
        <x:v>high</x:v>
      </x:c>
      <x:c r="AF49" s="101" t="str">
        <x:v>루브릭 일치</x:v>
      </x:c>
      <x:c r="AG49" s="101" t="str">
        <x:v>목표: 사용자의 넓은 문법 목표를 직접 지원하지만 세부 개념은 명시되지 않음 (28/35); 유형: 2순위 선호 유형 (22/25); 시간: 22분이 평균 학습 시간의 1.25배 이내 (16/20); 수준: 사용자 레벨 3과 난이도 3가 일치 (20/20). 적용 항목 재환산 86점으로 판단했으며 최종 라벨은 high.</x:v>
      </x:c>
      <x:c r="AH49" s="101" t="str">
        <x:v>일반</x:v>
      </x:c>
      <x:c r="AI49" s="101" t="str">
        <x:v>Codex 초안</x:v>
      </x:c>
      <x:c r="AJ49" s="101" t="str"/>
    </x:row>
    <x:row r="50" ht="52" customHeight="1">
      <x:c r="A50" s="80" t="str">
        <x:v>user-05__content-10</x:v>
      </x:c>
      <x:c r="B50" s="80" t="str">
        <x:v>user-05</x:v>
      </x:c>
      <x:c r="C50" s="80" t="str">
        <x:v>긴 강의형</x:v>
      </x:c>
      <x:c r="D50" s="80" t="str">
        <x:v>기존 · 긴 개념 강의 선호</x:v>
      </x:c>
      <x:c r="E50" s="80" t="str">
        <x:v>기존</x:v>
      </x:c>
      <x:c r="F50" s="80" t="n">
        <x:v>3</x:v>
      </x:c>
      <x:c r="G50" s="92" t="str">
        <x:v>고급 문법 구조를 깊이 이해</x:v>
      </x:c>
      <x:c r="H50" s="92" t="str">
        <x:v>문법 · 수동태 · 가정법</x:v>
      </x:c>
      <x:c r="I50" s="92" t="str">
        <x:v>있음</x:v>
      </x:c>
      <x:c r="J50" s="92" t="str">
        <x:v>영상 강의 → 심화 문제</x:v>
      </x:c>
      <x:c r="K50" s="92" t="str">
        <x:v>영상 강의 75% · 심화 문제 100%</x:v>
      </x:c>
      <x:c r="L50" s="80" t="n">
        <x:v>19</x:v>
      </x:c>
      <x:c r="M50" s="80" t="str">
        <x:v>content-10</x:v>
      </x:c>
      <x:c r="N50" s="96" t="str">
        <x:v>과거완료 오답 교정</x:v>
      </x:c>
      <x:c r="O50" s="96" t="str">
        <x:v>퀴즈</x:v>
      </x:c>
      <x:c r="P50" s="96" t="n">
        <x:v>2</x:v>
      </x:c>
      <x:c r="Q50" s="96" t="n">
        <x:v>9</x:v>
      </x:c>
      <x:c r="R50" s="92" t="str">
        <x:v>과거완료 자주 틀리는 유형을 교정</x:v>
      </x:c>
      <x:c r="S50" s="92" t="str">
        <x:v>시제 · 문법</x:v>
      </x:c>
      <x:c r="T50" s="97" t="str">
        <x:v>넓은 목표 직접 지원</x:v>
      </x:c>
      <x:c r="U50" s="86" t="n">
        <x:v>28</x:v>
      </x:c>
      <x:c r="V50" s="86" t="str">
        <x:v>N/A</x:v>
      </x:c>
      <x:c r="W50" s="86"/>
      <x:c r="X50" s="86" t="str">
        <x:v>매우 적합</x:v>
      </x:c>
      <x:c r="Y50" s="86" t="n">
        <x:v>20</x:v>
      </x:c>
      <x:c r="Z50" s="86" t="str">
        <x:v>허용 범위</x:v>
      </x:c>
      <x:c r="AA50" s="86" t="n">
        <x:v>14</x:v>
      </x:c>
      <x:c r="AB50" s="86" t="n">
        <x:f>35+IF(W50="",0,25)+IF(Y50="",0,20)+20</x:f>
        <x:v>75</x:v>
      </x:c>
      <x:c r="AC50" s="104" t="n">
        <x:f>ROUND((U50+IF(W50="",0,W50)+IF(Y50="",0,Y50)+AA50)/AB50*100,1)</x:f>
        <x:v>82.7</x:v>
      </x:c>
      <x:c r="AD50" s="86" t="str">
        <x:f>IF(AC50&gt;=80,"high",IF(AC50&gt;=50,"medium","low"))</x:f>
        <x:v>high</x:v>
      </x:c>
      <x:c r="AE50" s="89" t="str">
        <x:v>medium</x:v>
      </x:c>
      <x:c r="AF50" s="101" t="str">
        <x:v>high → medium 정성 조정</x:v>
      </x:c>
      <x:c r="AG50" s="101" t="str">
        <x:v>목표: 사용자의 넓은 문법 목표를 직접 지원하지만 세부 개념은 명시되지 않음 (28/35); 유형: 해당 유형 관찰 이력이 없어 비선호로 추측하지 않고 제외; 시간: 9분이 평균 19분 이내 (20/20); 수준: 사용자 레벨과 난이도 차이가 1단계 (14/20). 적용 항목 재환산 82.7점으로 판단했으며 최종 라벨은 medium.</x:v>
      </x:c>
      <x:c r="AH50" s="101" t="str">
        <x:v>우선 검토</x:v>
      </x:c>
      <x:c r="AI50" s="101" t="str">
        <x:v>Codex 초안</x:v>
      </x:c>
      <x:c r="AJ50" s="101" t="str"/>
    </x:row>
    <x:row r="51" ht="52" customHeight="1">
      <x:c r="A51" s="80" t="str">
        <x:v>user-05__content-27</x:v>
      </x:c>
      <x:c r="B51" s="80" t="str">
        <x:v>user-05</x:v>
      </x:c>
      <x:c r="C51" s="80" t="str">
        <x:v>긴 강의형</x:v>
      </x:c>
      <x:c r="D51" s="80" t="str">
        <x:v>기존 · 긴 개념 강의 선호</x:v>
      </x:c>
      <x:c r="E51" s="80" t="str">
        <x:v>기존</x:v>
      </x:c>
      <x:c r="F51" s="80" t="n">
        <x:v>3</x:v>
      </x:c>
      <x:c r="G51" s="92" t="str">
        <x:v>고급 문법 구조를 깊이 이해</x:v>
      </x:c>
      <x:c r="H51" s="92" t="str">
        <x:v>문법 · 수동태 · 가정법</x:v>
      </x:c>
      <x:c r="I51" s="92" t="str">
        <x:v>있음</x:v>
      </x:c>
      <x:c r="J51" s="92" t="str">
        <x:v>영상 강의 → 심화 문제</x:v>
      </x:c>
      <x:c r="K51" s="92" t="str">
        <x:v>영상 강의 75% · 심화 문제 100%</x:v>
      </x:c>
      <x:c r="L51" s="80" t="n">
        <x:v>19</x:v>
      </x:c>
      <x:c r="M51" s="80" t="str">
        <x:v>content-27</x:v>
      </x:c>
      <x:c r="N51" s="96" t="str">
        <x:v>가정법 개념 강의</x:v>
      </x:c>
      <x:c r="O51" s="96" t="str">
        <x:v>영상 강의</x:v>
      </x:c>
      <x:c r="P51" s="96" t="n">
        <x:v>2</x:v>
      </x:c>
      <x:c r="Q51" s="96" t="n">
        <x:v>18</x:v>
      </x:c>
      <x:c r="R51" s="92" t="str">
        <x:v>가정법 대표 쓰임과 오류를 이해</x:v>
      </x:c>
      <x:c r="S51" s="92" t="str">
        <x:v>가정법 · 문법</x:v>
      </x:c>
      <x:c r="T51" s="97" t="str">
        <x:v>직접 일치</x:v>
      </x:c>
      <x:c r="U51" s="86" t="n">
        <x:v>35</x:v>
      </x:c>
      <x:c r="V51" s="86" t="str">
        <x:v>매우 적합</x:v>
      </x:c>
      <x:c r="W51" s="86" t="n">
        <x:v>25</x:v>
      </x:c>
      <x:c r="X51" s="86" t="str">
        <x:v>매우 적합</x:v>
      </x:c>
      <x:c r="Y51" s="86" t="n">
        <x:v>20</x:v>
      </x:c>
      <x:c r="Z51" s="86" t="str">
        <x:v>허용 범위</x:v>
      </x:c>
      <x:c r="AA51" s="86" t="n">
        <x:v>14</x:v>
      </x:c>
      <x:c r="AB51" s="86" t="n">
        <x:f>35+IF(W51="",0,25)+IF(Y51="",0,20)+20</x:f>
        <x:v>100</x:v>
      </x:c>
      <x:c r="AC51" s="104" t="n">
        <x:f>ROUND((U51+IF(W51="",0,W51)+IF(Y51="",0,Y51)+AA51)/AB51*100,1)</x:f>
        <x:v>94</x:v>
      </x:c>
      <x:c r="AD51" s="86" t="str">
        <x:f>IF(AC51&gt;=80,"high",IF(AC51&gt;=50,"medium","low"))</x:f>
        <x:v>high</x:v>
      </x:c>
      <x:c r="AE51" s="89" t="str">
        <x:v>high</x:v>
      </x:c>
      <x:c r="AF51" s="101" t="str">
        <x:v>루브릭 일치</x:v>
      </x:c>
      <x:c r="AG51" s="101" t="str">
        <x:v>목표: 가정법 목표가 콘텐츠 학습 목표와 직접 일치 (35/35); 유형: 1순위 선호이며 완료율 75% (25/25); 시간: 18분이 평균 19분 이내 (20/20); 수준: 사용자 레벨과 난이도 차이가 1단계 (14/20). 적용 항목 재환산 94점으로 판단했으며 최종 라벨은 high.</x:v>
      </x:c>
      <x:c r="AH51" s="101" t="str">
        <x:v>우선 검토</x:v>
      </x:c>
      <x:c r="AI51" s="101" t="str">
        <x:v>Codex 초안</x:v>
      </x:c>
      <x:c r="AJ51" s="101" t="str"/>
    </x:row>
    <x:row r="52" ht="52" customHeight="1">
      <x:c r="A52" s="80" t="str">
        <x:v>user-05__content-28</x:v>
      </x:c>
      <x:c r="B52" s="80" t="str">
        <x:v>user-05</x:v>
      </x:c>
      <x:c r="C52" s="80" t="str">
        <x:v>긴 강의형</x:v>
      </x:c>
      <x:c r="D52" s="80" t="str">
        <x:v>기존 · 긴 개념 강의 선호</x:v>
      </x:c>
      <x:c r="E52" s="80" t="str">
        <x:v>기존</x:v>
      </x:c>
      <x:c r="F52" s="80" t="n">
        <x:v>3</x:v>
      </x:c>
      <x:c r="G52" s="92" t="str">
        <x:v>고급 문법 구조를 깊이 이해</x:v>
      </x:c>
      <x:c r="H52" s="92" t="str">
        <x:v>문법 · 수동태 · 가정법</x:v>
      </x:c>
      <x:c r="I52" s="92" t="str">
        <x:v>있음</x:v>
      </x:c>
      <x:c r="J52" s="92" t="str">
        <x:v>영상 강의 → 심화 문제</x:v>
      </x:c>
      <x:c r="K52" s="92" t="str">
        <x:v>영상 강의 75% · 심화 문제 100%</x:v>
      </x:c>
      <x:c r="L52" s="80" t="n">
        <x:v>19</x:v>
      </x:c>
      <x:c r="M52" s="80" t="str">
        <x:v>content-28</x:v>
      </x:c>
      <x:c r="N52" s="96" t="str">
        <x:v>가정법 예문 읽기</x:v>
      </x:c>
      <x:c r="O52" s="96" t="str">
        <x:v>예문 읽기</x:v>
      </x:c>
      <x:c r="P52" s="96" t="n">
        <x:v>2</x:v>
      </x:c>
      <x:c r="Q52" s="96" t="n">
        <x:v>12</x:v>
      </x:c>
      <x:c r="R52" s="92" t="str">
        <x:v>가정법 문맥 속 쓰임을 구별</x:v>
      </x:c>
      <x:c r="S52" s="92" t="str">
        <x:v>가정법 · 문법</x:v>
      </x:c>
      <x:c r="T52" s="97" t="str">
        <x:v>직접 일치</x:v>
      </x:c>
      <x:c r="U52" s="86" t="n">
        <x:v>35</x:v>
      </x:c>
      <x:c r="V52" s="86" t="str">
        <x:v>N/A</x:v>
      </x:c>
      <x:c r="W52" s="86"/>
      <x:c r="X52" s="86" t="str">
        <x:v>매우 적합</x:v>
      </x:c>
      <x:c r="Y52" s="86" t="n">
        <x:v>20</x:v>
      </x:c>
      <x:c r="Z52" s="86" t="str">
        <x:v>허용 범위</x:v>
      </x:c>
      <x:c r="AA52" s="86" t="n">
        <x:v>14</x:v>
      </x:c>
      <x:c r="AB52" s="86" t="n">
        <x:f>35+IF(W52="",0,25)+IF(Y52="",0,20)+20</x:f>
        <x:v>75</x:v>
      </x:c>
      <x:c r="AC52" s="104" t="n">
        <x:f>ROUND((U52+IF(W52="",0,W52)+IF(Y52="",0,Y52)+AA52)/AB52*100,1)</x:f>
        <x:v>92</x:v>
      </x:c>
      <x:c r="AD52" s="86" t="str">
        <x:f>IF(AC52&gt;=80,"high",IF(AC52&gt;=50,"medium","low"))</x:f>
        <x:v>high</x:v>
      </x:c>
      <x:c r="AE52" s="89" t="str">
        <x:v>medium</x:v>
      </x:c>
      <x:c r="AF52" s="101" t="str">
        <x:v>high → medium 정성 조정</x:v>
      </x:c>
      <x:c r="AG52" s="101" t="str">
        <x:v>목표: 가정법 목표가 콘텐츠 학습 목표와 직접 일치 (35/35); 유형: 해당 유형 관찰 이력이 없어 비선호로 추측하지 않고 제외; 시간: 12분이 평균 19분 이내 (20/20); 수준: 사용자 레벨과 난이도 차이가 1단계 (14/20). 적용 항목 재환산 92점으로 판단했으며 최종 라벨은 medium.</x:v>
      </x:c>
      <x:c r="AH52" s="101" t="str">
        <x:v>우선 검토</x:v>
      </x:c>
      <x:c r="AI52" s="101" t="str">
        <x:v>Codex 초안</x:v>
      </x:c>
      <x:c r="AJ52" s="101" t="str"/>
    </x:row>
    <x:row r="53" ht="52" customHeight="1">
      <x:c r="A53" s="80" t="str">
        <x:v>user-05__content-29</x:v>
      </x:c>
      <x:c r="B53" s="80" t="str">
        <x:v>user-05</x:v>
      </x:c>
      <x:c r="C53" s="80" t="str">
        <x:v>긴 강의형</x:v>
      </x:c>
      <x:c r="D53" s="80" t="str">
        <x:v>기존 · 긴 개념 강의 선호</x:v>
      </x:c>
      <x:c r="E53" s="80" t="str">
        <x:v>기존</x:v>
      </x:c>
      <x:c r="F53" s="80" t="n">
        <x:v>3</x:v>
      </x:c>
      <x:c r="G53" s="92" t="str">
        <x:v>고급 문법 구조를 깊이 이해</x:v>
      </x:c>
      <x:c r="H53" s="92" t="str">
        <x:v>문법 · 수동태 · 가정법</x:v>
      </x:c>
      <x:c r="I53" s="92" t="str">
        <x:v>있음</x:v>
      </x:c>
      <x:c r="J53" s="92" t="str">
        <x:v>영상 강의 → 심화 문제</x:v>
      </x:c>
      <x:c r="K53" s="92" t="str">
        <x:v>영상 강의 75% · 심화 문제 100%</x:v>
      </x:c>
      <x:c r="L53" s="80" t="n">
        <x:v>19</x:v>
      </x:c>
      <x:c r="M53" s="80" t="str">
        <x:v>content-29</x:v>
      </x:c>
      <x:c r="N53" s="96" t="str">
        <x:v>가정법 심화 문제</x:v>
      </x:c>
      <x:c r="O53" s="96" t="str">
        <x:v>심화 문제</x:v>
      </x:c>
      <x:c r="P53" s="96" t="n">
        <x:v>3</x:v>
      </x:c>
      <x:c r="Q53" s="96" t="n">
        <x:v>22</x:v>
      </x:c>
      <x:c r="R53" s="92" t="str">
        <x:v>가정법 복합 문장에서 정확히 적용</x:v>
      </x:c>
      <x:c r="S53" s="92" t="str">
        <x:v>가정법 · 문법</x:v>
      </x:c>
      <x:c r="T53" s="97" t="str">
        <x:v>직접 일치</x:v>
      </x:c>
      <x:c r="U53" s="86" t="n">
        <x:v>35</x:v>
      </x:c>
      <x:c r="V53" s="86" t="str">
        <x:v>적합</x:v>
      </x:c>
      <x:c r="W53" s="86" t="n">
        <x:v>22</x:v>
      </x:c>
      <x:c r="X53" s="86" t="str">
        <x:v>적합</x:v>
      </x:c>
      <x:c r="Y53" s="86" t="n">
        <x:v>16</x:v>
      </x:c>
      <x:c r="Z53" s="86" t="str">
        <x:v>정확히 일치</x:v>
      </x:c>
      <x:c r="AA53" s="86" t="n">
        <x:v>20</x:v>
      </x:c>
      <x:c r="AB53" s="86" t="n">
        <x:f>35+IF(W53="",0,25)+IF(Y53="",0,20)+20</x:f>
        <x:v>100</x:v>
      </x:c>
      <x:c r="AC53" s="104" t="n">
        <x:f>ROUND((U53+IF(W53="",0,W53)+IF(Y53="",0,Y53)+AA53)/AB53*100,1)</x:f>
        <x:v>93</x:v>
      </x:c>
      <x:c r="AD53" s="86" t="str">
        <x:f>IF(AC53&gt;=80,"high",IF(AC53&gt;=50,"medium","low"))</x:f>
        <x:v>high</x:v>
      </x:c>
      <x:c r="AE53" s="89" t="str">
        <x:v>high</x:v>
      </x:c>
      <x:c r="AF53" s="101" t="str">
        <x:v>루브릭 일치</x:v>
      </x:c>
      <x:c r="AG53" s="101" t="str">
        <x:v>목표: 가정법 목표가 콘텐츠 학습 목표와 직접 일치 (35/35); 유형: 2순위 선호 유형 (22/25); 시간: 22분이 평균 학습 시간의 1.25배 이내 (16/20); 수준: 사용자 레벨 3과 난이도 3가 일치 (20/20). 적용 항목 재환산 93점으로 판단했으며 최종 라벨은 high.</x:v>
      </x:c>
      <x:c r="AH53" s="101" t="str">
        <x:v>우선 검토</x:v>
      </x:c>
      <x:c r="AI53" s="101" t="str">
        <x:v>Codex 초안</x:v>
      </x:c>
      <x:c r="AJ53" s="101" t="str"/>
    </x:row>
    <x:row r="54" ht="52" customHeight="1">
      <x:c r="A54" s="80" t="str">
        <x:v>user-05__content-30</x:v>
      </x:c>
      <x:c r="B54" s="80" t="str">
        <x:v>user-05</x:v>
      </x:c>
      <x:c r="C54" s="80" t="str">
        <x:v>긴 강의형</x:v>
      </x:c>
      <x:c r="D54" s="80" t="str">
        <x:v>기존 · 긴 개념 강의 선호</x:v>
      </x:c>
      <x:c r="E54" s="80" t="str">
        <x:v>기존</x:v>
      </x:c>
      <x:c r="F54" s="80" t="n">
        <x:v>3</x:v>
      </x:c>
      <x:c r="G54" s="92" t="str">
        <x:v>고급 문법 구조를 깊이 이해</x:v>
      </x:c>
      <x:c r="H54" s="92" t="str">
        <x:v>문법 · 수동태 · 가정법</x:v>
      </x:c>
      <x:c r="I54" s="92" t="str">
        <x:v>있음</x:v>
      </x:c>
      <x:c r="J54" s="92" t="str">
        <x:v>영상 강의 → 심화 문제</x:v>
      </x:c>
      <x:c r="K54" s="92" t="str">
        <x:v>영상 강의 75% · 심화 문제 100%</x:v>
      </x:c>
      <x:c r="L54" s="80" t="n">
        <x:v>19</x:v>
      </x:c>
      <x:c r="M54" s="80" t="str">
        <x:v>content-30</x:v>
      </x:c>
      <x:c r="N54" s="96" t="str">
        <x:v>가정법 오답 교정</x:v>
      </x:c>
      <x:c r="O54" s="96" t="str">
        <x:v>퀴즈</x:v>
      </x:c>
      <x:c r="P54" s="96" t="n">
        <x:v>2</x:v>
      </x:c>
      <x:c r="Q54" s="96" t="n">
        <x:v>9</x:v>
      </x:c>
      <x:c r="R54" s="92" t="str">
        <x:v>가정법 자주 틀리는 유형을 교정</x:v>
      </x:c>
      <x:c r="S54" s="92" t="str">
        <x:v>가정법 · 문법</x:v>
      </x:c>
      <x:c r="T54" s="97" t="str">
        <x:v>직접 일치</x:v>
      </x:c>
      <x:c r="U54" s="86" t="n">
        <x:v>35</x:v>
      </x:c>
      <x:c r="V54" s="86" t="str">
        <x:v>N/A</x:v>
      </x:c>
      <x:c r="W54" s="86"/>
      <x:c r="X54" s="86" t="str">
        <x:v>매우 적합</x:v>
      </x:c>
      <x:c r="Y54" s="86" t="n">
        <x:v>20</x:v>
      </x:c>
      <x:c r="Z54" s="86" t="str">
        <x:v>허용 범위</x:v>
      </x:c>
      <x:c r="AA54" s="86" t="n">
        <x:v>14</x:v>
      </x:c>
      <x:c r="AB54" s="86" t="n">
        <x:f>35+IF(W54="",0,25)+IF(Y54="",0,20)+20</x:f>
        <x:v>75</x:v>
      </x:c>
      <x:c r="AC54" s="104" t="n">
        <x:f>ROUND((U54+IF(W54="",0,W54)+IF(Y54="",0,Y54)+AA54)/AB54*100,1)</x:f>
        <x:v>92</x:v>
      </x:c>
      <x:c r="AD54" s="86" t="str">
        <x:f>IF(AC54&gt;=80,"high",IF(AC54&gt;=50,"medium","low"))</x:f>
        <x:v>high</x:v>
      </x:c>
      <x:c r="AE54" s="89" t="str">
        <x:v>medium</x:v>
      </x:c>
      <x:c r="AF54" s="101" t="str">
        <x:v>high → medium 정성 조정</x:v>
      </x:c>
      <x:c r="AG54" s="101" t="str">
        <x:v>목표: 가정법 목표가 콘텐츠 학습 목표와 직접 일치 (35/35); 유형: 해당 유형 관찰 이력이 없어 비선호로 추측하지 않고 제외; 시간: 9분이 평균 19분 이내 (20/20); 수준: 사용자 레벨과 난이도 차이가 1단계 (14/20). 적용 항목 재환산 92점으로 판단했으며 최종 라벨은 medium.</x:v>
      </x:c>
      <x:c r="AH54" s="101" t="str">
        <x:v>우선 검토</x:v>
      </x:c>
      <x:c r="AI54" s="101" t="str">
        <x:v>Codex 초안</x:v>
      </x:c>
      <x:c r="AJ54" s="101" t="str"/>
    </x:row>
    <x:row r="55" ht="52" customHeight="1">
      <x:c r="A55" s="80" t="str">
        <x:v>user-06__content-31</x:v>
      </x:c>
      <x:c r="B55" s="80" t="str">
        <x:v>user-06</x:v>
      </x:c>
      <x:c r="C55" s="80" t="str">
        <x:v>프로필 없음형</x:v>
      </x:c>
      <x:c r="D55" s="80" t="str">
        <x:v>기존 · 행동 프로필 없음</x:v>
      </x:c>
      <x:c r="E55" s="80" t="str">
        <x:v>기존</x:v>
      </x:c>
      <x:c r="F55" s="80" t="n">
        <x:v>2</x:v>
      </x:c>
      <x:c r="G55" s="92" t="str">
        <x:v>업무 독해의 정확도 향상</x:v>
      </x:c>
      <x:c r="H55" s="92" t="str">
        <x:v>독해 · 문맥 어휘 · 독해 추론</x:v>
      </x:c>
      <x:c r="I55" s="92" t="str">
        <x:v>없음</x:v>
      </x:c>
      <x:c r="J55" s="92" t="str">
        <x:v>정보 없음</x:v>
      </x:c>
      <x:c r="K55" s="92" t="str">
        <x:v>정보 없음</x:v>
      </x:c>
      <x:c r="L55" s="80"/>
      <x:c r="M55" s="80" t="str">
        <x:v>content-31</x:v>
      </x:c>
      <x:c r="N55" s="96" t="str">
        <x:v>문맥 어휘 핵심 퀴즈</x:v>
      </x:c>
      <x:c r="O55" s="96" t="str">
        <x:v>퀴즈</x:v>
      </x:c>
      <x:c r="P55" s="96" t="n">
        <x:v>1</x:v>
      </x:c>
      <x:c r="Q55" s="96" t="n">
        <x:v>6</x:v>
      </x:c>
      <x:c r="R55" s="92" t="str">
        <x:v>문맥 어휘 핵심 규칙을 빠르게 확인</x:v>
      </x:c>
      <x:c r="S55" s="92" t="str">
        <x:v>문맥 어휘 · 독해</x:v>
      </x:c>
      <x:c r="T55" s="97" t="str">
        <x:v>직접 일치</x:v>
      </x:c>
      <x:c r="U55" s="86" t="n">
        <x:v>35</x:v>
      </x:c>
      <x:c r="V55" s="86" t="str">
        <x:v>N/A</x:v>
      </x:c>
      <x:c r="W55" s="86"/>
      <x:c r="X55" s="86" t="str">
        <x:v>N/A</x:v>
      </x:c>
      <x:c r="Y55" s="86"/>
      <x:c r="Z55" s="86" t="str">
        <x:v>허용 범위</x:v>
      </x:c>
      <x:c r="AA55" s="86" t="n">
        <x:v>14</x:v>
      </x:c>
      <x:c r="AB55" s="86" t="n">
        <x:f>35+IF(W55="",0,25)+IF(Y55="",0,20)+20</x:f>
        <x:v>55</x:v>
      </x:c>
      <x:c r="AC55" s="104" t="n">
        <x:f>ROUND((U55+IF(W55="",0,W55)+IF(Y55="",0,Y55)+AA55)/AB55*100,1)</x:f>
        <x:v>89.1</x:v>
      </x:c>
      <x:c r="AD55" s="86" t="str">
        <x:f>IF(AC55&gt;=80,"high",IF(AC55&gt;=50,"medium","low"))</x:f>
        <x:v>high</x:v>
      </x:c>
      <x:c r="AE55" s="89" t="str">
        <x:v>high</x:v>
      </x:c>
      <x:c r="AF55" s="101" t="str">
        <x:v>루브릭 일치</x:v>
      </x:c>
      <x:c r="AG55" s="101" t="str">
        <x:v>목표: 문맥 어휘 · 독해 목표가 콘텐츠 학습 목표와 직접 일치 (35/35); 유형: 행동 프로필이 없어 유형 항목을 평가에서 제외; 시간: 행동 프로필이 없어 시간 항목을 평가에서 제외; 수준: 사용자 레벨과 난이도 차이가 1단계 (14/20). 적용 항목 재환산 89.1점으로 판단했으며 최종 라벨은 high.</x:v>
      </x:c>
      <x:c r="AH55" s="101" t="str">
        <x:v>우선 검토</x:v>
      </x:c>
      <x:c r="AI55" s="101" t="str">
        <x:v>Codex 초안</x:v>
      </x:c>
      <x:c r="AJ55" s="101" t="str"/>
    </x:row>
    <x:row r="56" ht="52" customHeight="1">
      <x:c r="A56" s="80" t="str">
        <x:v>user-06__content-32</x:v>
      </x:c>
      <x:c r="B56" s="80" t="str">
        <x:v>user-06</x:v>
      </x:c>
      <x:c r="C56" s="80" t="str">
        <x:v>프로필 없음형</x:v>
      </x:c>
      <x:c r="D56" s="80" t="str">
        <x:v>기존 · 행동 프로필 없음</x:v>
      </x:c>
      <x:c r="E56" s="80" t="str">
        <x:v>기존</x:v>
      </x:c>
      <x:c r="F56" s="80" t="n">
        <x:v>2</x:v>
      </x:c>
      <x:c r="G56" s="92" t="str">
        <x:v>업무 독해의 정확도 향상</x:v>
      </x:c>
      <x:c r="H56" s="92" t="str">
        <x:v>독해 · 문맥 어휘 · 독해 추론</x:v>
      </x:c>
      <x:c r="I56" s="92" t="str">
        <x:v>없음</x:v>
      </x:c>
      <x:c r="J56" s="92" t="str">
        <x:v>정보 없음</x:v>
      </x:c>
      <x:c r="K56" s="92" t="str">
        <x:v>정보 없음</x:v>
      </x:c>
      <x:c r="L56" s="80"/>
      <x:c r="M56" s="80" t="str">
        <x:v>content-32</x:v>
      </x:c>
      <x:c r="N56" s="96" t="str">
        <x:v>문맥 어휘 개념 강의</x:v>
      </x:c>
      <x:c r="O56" s="96" t="str">
        <x:v>영상 강의</x:v>
      </x:c>
      <x:c r="P56" s="96" t="n">
        <x:v>2</x:v>
      </x:c>
      <x:c r="Q56" s="96" t="n">
        <x:v>18</x:v>
      </x:c>
      <x:c r="R56" s="92" t="str">
        <x:v>문맥 어휘 대표 쓰임과 오류를 이해</x:v>
      </x:c>
      <x:c r="S56" s="92" t="str">
        <x:v>문맥 어휘 · 독해</x:v>
      </x:c>
      <x:c r="T56" s="97" t="str">
        <x:v>직접 일치</x:v>
      </x:c>
      <x:c r="U56" s="86" t="n">
        <x:v>35</x:v>
      </x:c>
      <x:c r="V56" s="86" t="str">
        <x:v>N/A</x:v>
      </x:c>
      <x:c r="W56" s="86"/>
      <x:c r="X56" s="86" t="str">
        <x:v>N/A</x:v>
      </x:c>
      <x:c r="Y56" s="86"/>
      <x:c r="Z56" s="86" t="str">
        <x:v>정확히 일치</x:v>
      </x:c>
      <x:c r="AA56" s="86" t="n">
        <x:v>20</x:v>
      </x:c>
      <x:c r="AB56" s="86" t="n">
        <x:f>35+IF(W56="",0,25)+IF(Y56="",0,20)+20</x:f>
        <x:v>55</x:v>
      </x:c>
      <x:c r="AC56" s="104" t="n">
        <x:f>ROUND((U56+IF(W56="",0,W56)+IF(Y56="",0,Y56)+AA56)/AB56*100,1)</x:f>
        <x:v>100</x:v>
      </x:c>
      <x:c r="AD56" s="86" t="str">
        <x:f>IF(AC56&gt;=80,"high",IF(AC56&gt;=50,"medium","low"))</x:f>
        <x:v>high</x:v>
      </x:c>
      <x:c r="AE56" s="89" t="str">
        <x:v>high</x:v>
      </x:c>
      <x:c r="AF56" s="101" t="str">
        <x:v>루브릭 일치</x:v>
      </x:c>
      <x:c r="AG56" s="101" t="str">
        <x:v>목표: 문맥 어휘 · 독해 목표가 콘텐츠 학습 목표와 직접 일치 (35/35); 유형: 행동 프로필이 없어 유형 항목을 평가에서 제외; 시간: 행동 프로필이 없어 시간 항목을 평가에서 제외; 수준: 사용자 레벨 2과 난이도 2가 일치 (20/20). 적용 항목 재환산 100점으로 판단했으며 최종 라벨은 high.</x:v>
      </x:c>
      <x:c r="AH56" s="101" t="str">
        <x:v>우선 검토</x:v>
      </x:c>
      <x:c r="AI56" s="101" t="str">
        <x:v>Codex 초안</x:v>
      </x:c>
      <x:c r="AJ56" s="101" t="str"/>
    </x:row>
    <x:row r="57" ht="52" customHeight="1">
      <x:c r="A57" s="80" t="str">
        <x:v>user-06__content-33</x:v>
      </x:c>
      <x:c r="B57" s="80" t="str">
        <x:v>user-06</x:v>
      </x:c>
      <x:c r="C57" s="80" t="str">
        <x:v>프로필 없음형</x:v>
      </x:c>
      <x:c r="D57" s="80" t="str">
        <x:v>기존 · 행동 프로필 없음</x:v>
      </x:c>
      <x:c r="E57" s="80" t="str">
        <x:v>기존</x:v>
      </x:c>
      <x:c r="F57" s="80" t="n">
        <x:v>2</x:v>
      </x:c>
      <x:c r="G57" s="92" t="str">
        <x:v>업무 독해의 정확도 향상</x:v>
      </x:c>
      <x:c r="H57" s="92" t="str">
        <x:v>독해 · 문맥 어휘 · 독해 추론</x:v>
      </x:c>
      <x:c r="I57" s="92" t="str">
        <x:v>없음</x:v>
      </x:c>
      <x:c r="J57" s="92" t="str">
        <x:v>정보 없음</x:v>
      </x:c>
      <x:c r="K57" s="92" t="str">
        <x:v>정보 없음</x:v>
      </x:c>
      <x:c r="L57" s="80"/>
      <x:c r="M57" s="80" t="str">
        <x:v>content-33</x:v>
      </x:c>
      <x:c r="N57" s="96" t="str">
        <x:v>문맥 어휘 예문 읽기</x:v>
      </x:c>
      <x:c r="O57" s="96" t="str">
        <x:v>예문 읽기</x:v>
      </x:c>
      <x:c r="P57" s="96" t="n">
        <x:v>2</x:v>
      </x:c>
      <x:c r="Q57" s="96" t="n">
        <x:v>12</x:v>
      </x:c>
      <x:c r="R57" s="92" t="str">
        <x:v>문맥 어휘 문맥 속 쓰임을 구별</x:v>
      </x:c>
      <x:c r="S57" s="92" t="str">
        <x:v>문맥 어휘 · 독해</x:v>
      </x:c>
      <x:c r="T57" s="97" t="str">
        <x:v>직접 일치</x:v>
      </x:c>
      <x:c r="U57" s="86" t="n">
        <x:v>35</x:v>
      </x:c>
      <x:c r="V57" s="86" t="str">
        <x:v>N/A</x:v>
      </x:c>
      <x:c r="W57" s="86"/>
      <x:c r="X57" s="86" t="str">
        <x:v>N/A</x:v>
      </x:c>
      <x:c r="Y57" s="86"/>
      <x:c r="Z57" s="86" t="str">
        <x:v>정확히 일치</x:v>
      </x:c>
      <x:c r="AA57" s="86" t="n">
        <x:v>20</x:v>
      </x:c>
      <x:c r="AB57" s="86" t="n">
        <x:f>35+IF(W57="",0,25)+IF(Y57="",0,20)+20</x:f>
        <x:v>55</x:v>
      </x:c>
      <x:c r="AC57" s="104" t="n">
        <x:f>ROUND((U57+IF(W57="",0,W57)+IF(Y57="",0,Y57)+AA57)/AB57*100,1)</x:f>
        <x:v>100</x:v>
      </x:c>
      <x:c r="AD57" s="86" t="str">
        <x:f>IF(AC57&gt;=80,"high",IF(AC57&gt;=50,"medium","low"))</x:f>
        <x:v>high</x:v>
      </x:c>
      <x:c r="AE57" s="89" t="str">
        <x:v>high</x:v>
      </x:c>
      <x:c r="AF57" s="101" t="str">
        <x:v>루브릭 일치</x:v>
      </x:c>
      <x:c r="AG57" s="101" t="str">
        <x:v>목표: 문맥 어휘 · 독해 목표가 콘텐츠 학습 목표와 직접 일치 (35/35); 유형: 행동 프로필이 없어 유형 항목을 평가에서 제외; 시간: 행동 프로필이 없어 시간 항목을 평가에서 제외; 수준: 사용자 레벨 2과 난이도 2가 일치 (20/20). 적용 항목 재환산 100점으로 판단했으며 최종 라벨은 high.</x:v>
      </x:c>
      <x:c r="AH57" s="101" t="str">
        <x:v>우선 검토</x:v>
      </x:c>
      <x:c r="AI57" s="101" t="str">
        <x:v>Codex 초안</x:v>
      </x:c>
      <x:c r="AJ57" s="101" t="str"/>
    </x:row>
    <x:row r="58" ht="52" customHeight="1">
      <x:c r="A58" s="80" t="str">
        <x:v>user-06__content-35</x:v>
      </x:c>
      <x:c r="B58" s="80" t="str">
        <x:v>user-06</x:v>
      </x:c>
      <x:c r="C58" s="80" t="str">
        <x:v>프로필 없음형</x:v>
      </x:c>
      <x:c r="D58" s="80" t="str">
        <x:v>기존 · 행동 프로필 없음</x:v>
      </x:c>
      <x:c r="E58" s="80" t="str">
        <x:v>기존</x:v>
      </x:c>
      <x:c r="F58" s="80" t="n">
        <x:v>2</x:v>
      </x:c>
      <x:c r="G58" s="92" t="str">
        <x:v>업무 독해의 정확도 향상</x:v>
      </x:c>
      <x:c r="H58" s="92" t="str">
        <x:v>독해 · 문맥 어휘 · 독해 추론</x:v>
      </x:c>
      <x:c r="I58" s="92" t="str">
        <x:v>없음</x:v>
      </x:c>
      <x:c r="J58" s="92" t="str">
        <x:v>정보 없음</x:v>
      </x:c>
      <x:c r="K58" s="92" t="str">
        <x:v>정보 없음</x:v>
      </x:c>
      <x:c r="L58" s="80"/>
      <x:c r="M58" s="80" t="str">
        <x:v>content-35</x:v>
      </x:c>
      <x:c r="N58" s="96" t="str">
        <x:v>문맥 어휘 오답 교정</x:v>
      </x:c>
      <x:c r="O58" s="96" t="str">
        <x:v>퀴즈</x:v>
      </x:c>
      <x:c r="P58" s="96" t="n">
        <x:v>2</x:v>
      </x:c>
      <x:c r="Q58" s="96" t="n">
        <x:v>9</x:v>
      </x:c>
      <x:c r="R58" s="92" t="str">
        <x:v>문맥 어휘 자주 틀리는 유형을 교정</x:v>
      </x:c>
      <x:c r="S58" s="92" t="str">
        <x:v>문맥 어휘 · 독해</x:v>
      </x:c>
      <x:c r="T58" s="97" t="str">
        <x:v>직접 일치</x:v>
      </x:c>
      <x:c r="U58" s="86" t="n">
        <x:v>35</x:v>
      </x:c>
      <x:c r="V58" s="86" t="str">
        <x:v>N/A</x:v>
      </x:c>
      <x:c r="W58" s="86"/>
      <x:c r="X58" s="86" t="str">
        <x:v>N/A</x:v>
      </x:c>
      <x:c r="Y58" s="86"/>
      <x:c r="Z58" s="86" t="str">
        <x:v>정확히 일치</x:v>
      </x:c>
      <x:c r="AA58" s="86" t="n">
        <x:v>20</x:v>
      </x:c>
      <x:c r="AB58" s="86" t="n">
        <x:f>35+IF(W58="",0,25)+IF(Y58="",0,20)+20</x:f>
        <x:v>55</x:v>
      </x:c>
      <x:c r="AC58" s="104" t="n">
        <x:f>ROUND((U58+IF(W58="",0,W58)+IF(Y58="",0,Y58)+AA58)/AB58*100,1)</x:f>
        <x:v>100</x:v>
      </x:c>
      <x:c r="AD58" s="86" t="str">
        <x:f>IF(AC58&gt;=80,"high",IF(AC58&gt;=50,"medium","low"))</x:f>
        <x:v>high</x:v>
      </x:c>
      <x:c r="AE58" s="89" t="str">
        <x:v>high</x:v>
      </x:c>
      <x:c r="AF58" s="101" t="str">
        <x:v>루브릭 일치</x:v>
      </x:c>
      <x:c r="AG58" s="101" t="str">
        <x:v>목표: 문맥 어휘 · 독해 목표가 콘텐츠 학습 목표와 직접 일치 (35/35); 유형: 행동 프로필이 없어 유형 항목을 평가에서 제외; 시간: 행동 프로필이 없어 시간 항목을 평가에서 제외; 수준: 사용자 레벨 2과 난이도 2가 일치 (20/20). 적용 항목 재환산 100점으로 판단했으며 최종 라벨은 high.</x:v>
      </x:c>
      <x:c r="AH58" s="101" t="str">
        <x:v>우선 검토</x:v>
      </x:c>
      <x:c r="AI58" s="101" t="str">
        <x:v>Codex 초안</x:v>
      </x:c>
      <x:c r="AJ58" s="101" t="str"/>
    </x:row>
    <x:row r="59" ht="52" customHeight="1">
      <x:c r="A59" s="80" t="str">
        <x:v>user-06__content-36</x:v>
      </x:c>
      <x:c r="B59" s="80" t="str">
        <x:v>user-06</x:v>
      </x:c>
      <x:c r="C59" s="80" t="str">
        <x:v>프로필 없음형</x:v>
      </x:c>
      <x:c r="D59" s="80" t="str">
        <x:v>기존 · 행동 프로필 없음</x:v>
      </x:c>
      <x:c r="E59" s="80" t="str">
        <x:v>기존</x:v>
      </x:c>
      <x:c r="F59" s="80" t="n">
        <x:v>2</x:v>
      </x:c>
      <x:c r="G59" s="92" t="str">
        <x:v>업무 독해의 정확도 향상</x:v>
      </x:c>
      <x:c r="H59" s="92" t="str">
        <x:v>독해 · 문맥 어휘 · 독해 추론</x:v>
      </x:c>
      <x:c r="I59" s="92" t="str">
        <x:v>없음</x:v>
      </x:c>
      <x:c r="J59" s="92" t="str">
        <x:v>정보 없음</x:v>
      </x:c>
      <x:c r="K59" s="92" t="str">
        <x:v>정보 없음</x:v>
      </x:c>
      <x:c r="L59" s="80"/>
      <x:c r="M59" s="80" t="str">
        <x:v>content-36</x:v>
      </x:c>
      <x:c r="N59" s="96" t="str">
        <x:v>독해 추론 핵심 퀴즈</x:v>
      </x:c>
      <x:c r="O59" s="96" t="str">
        <x:v>퀴즈</x:v>
      </x:c>
      <x:c r="P59" s="96" t="n">
        <x:v>1</x:v>
      </x:c>
      <x:c r="Q59" s="96" t="n">
        <x:v>6</x:v>
      </x:c>
      <x:c r="R59" s="92" t="str">
        <x:v>독해 추론 핵심 규칙을 빠르게 확인</x:v>
      </x:c>
      <x:c r="S59" s="92" t="str">
        <x:v>독해 추론 · 독해</x:v>
      </x:c>
      <x:c r="T59" s="97" t="str">
        <x:v>직접 일치</x:v>
      </x:c>
      <x:c r="U59" s="86" t="n">
        <x:v>35</x:v>
      </x:c>
      <x:c r="V59" s="86" t="str">
        <x:v>N/A</x:v>
      </x:c>
      <x:c r="W59" s="86"/>
      <x:c r="X59" s="86" t="str">
        <x:v>N/A</x:v>
      </x:c>
      <x:c r="Y59" s="86"/>
      <x:c r="Z59" s="86" t="str">
        <x:v>허용 범위</x:v>
      </x:c>
      <x:c r="AA59" s="86" t="n">
        <x:v>14</x:v>
      </x:c>
      <x:c r="AB59" s="86" t="n">
        <x:f>35+IF(W59="",0,25)+IF(Y59="",0,20)+20</x:f>
        <x:v>55</x:v>
      </x:c>
      <x:c r="AC59" s="104" t="n">
        <x:f>ROUND((U59+IF(W59="",0,W59)+IF(Y59="",0,Y59)+AA59)/AB59*100,1)</x:f>
        <x:v>89.1</x:v>
      </x:c>
      <x:c r="AD59" s="86" t="str">
        <x:f>IF(AC59&gt;=80,"high",IF(AC59&gt;=50,"medium","low"))</x:f>
        <x:v>high</x:v>
      </x:c>
      <x:c r="AE59" s="89" t="str">
        <x:v>high</x:v>
      </x:c>
      <x:c r="AF59" s="101" t="str">
        <x:v>루브릭 일치</x:v>
      </x:c>
      <x:c r="AG59" s="101" t="str">
        <x:v>목표: 독해 추론 · 독해 목표가 콘텐츠 학습 목표와 직접 일치 (35/35); 유형: 행동 프로필이 없어 유형 항목을 평가에서 제외; 시간: 행동 프로필이 없어 시간 항목을 평가에서 제외; 수준: 사용자 레벨과 난이도 차이가 1단계 (14/20). 적용 항목 재환산 89.1점으로 판단했으며 최종 라벨은 high.</x:v>
      </x:c>
      <x:c r="AH59" s="101" t="str">
        <x:v>우선 검토</x:v>
      </x:c>
      <x:c r="AI59" s="101" t="str">
        <x:v>Codex 초안</x:v>
      </x:c>
      <x:c r="AJ59" s="101" t="str"/>
    </x:row>
    <x:row r="60" ht="52" customHeight="1">
      <x:c r="A60" s="80" t="str">
        <x:v>user-06__content-37</x:v>
      </x:c>
      <x:c r="B60" s="80" t="str">
        <x:v>user-06</x:v>
      </x:c>
      <x:c r="C60" s="80" t="str">
        <x:v>프로필 없음형</x:v>
      </x:c>
      <x:c r="D60" s="80" t="str">
        <x:v>기존 · 행동 프로필 없음</x:v>
      </x:c>
      <x:c r="E60" s="80" t="str">
        <x:v>기존</x:v>
      </x:c>
      <x:c r="F60" s="80" t="n">
        <x:v>2</x:v>
      </x:c>
      <x:c r="G60" s="92" t="str">
        <x:v>업무 독해의 정확도 향상</x:v>
      </x:c>
      <x:c r="H60" s="92" t="str">
        <x:v>독해 · 문맥 어휘 · 독해 추론</x:v>
      </x:c>
      <x:c r="I60" s="92" t="str">
        <x:v>없음</x:v>
      </x:c>
      <x:c r="J60" s="92" t="str">
        <x:v>정보 없음</x:v>
      </x:c>
      <x:c r="K60" s="92" t="str">
        <x:v>정보 없음</x:v>
      </x:c>
      <x:c r="L60" s="80"/>
      <x:c r="M60" s="80" t="str">
        <x:v>content-37</x:v>
      </x:c>
      <x:c r="N60" s="96" t="str">
        <x:v>독해 추론 개념 강의</x:v>
      </x:c>
      <x:c r="O60" s="96" t="str">
        <x:v>영상 강의</x:v>
      </x:c>
      <x:c r="P60" s="96" t="n">
        <x:v>2</x:v>
      </x:c>
      <x:c r="Q60" s="96" t="n">
        <x:v>18</x:v>
      </x:c>
      <x:c r="R60" s="92" t="str">
        <x:v>독해 추론 대표 쓰임과 오류를 이해</x:v>
      </x:c>
      <x:c r="S60" s="92" t="str">
        <x:v>독해 추론 · 독해</x:v>
      </x:c>
      <x:c r="T60" s="97" t="str">
        <x:v>직접 일치</x:v>
      </x:c>
      <x:c r="U60" s="86" t="n">
        <x:v>35</x:v>
      </x:c>
      <x:c r="V60" s="86" t="str">
        <x:v>N/A</x:v>
      </x:c>
      <x:c r="W60" s="86"/>
      <x:c r="X60" s="86" t="str">
        <x:v>N/A</x:v>
      </x:c>
      <x:c r="Y60" s="86"/>
      <x:c r="Z60" s="86" t="str">
        <x:v>정확히 일치</x:v>
      </x:c>
      <x:c r="AA60" s="86" t="n">
        <x:v>20</x:v>
      </x:c>
      <x:c r="AB60" s="86" t="n">
        <x:f>35+IF(W60="",0,25)+IF(Y60="",0,20)+20</x:f>
        <x:v>55</x:v>
      </x:c>
      <x:c r="AC60" s="104" t="n">
        <x:f>ROUND((U60+IF(W60="",0,W60)+IF(Y60="",0,Y60)+AA60)/AB60*100,1)</x:f>
        <x:v>100</x:v>
      </x:c>
      <x:c r="AD60" s="86" t="str">
        <x:f>IF(AC60&gt;=80,"high",IF(AC60&gt;=50,"medium","low"))</x:f>
        <x:v>high</x:v>
      </x:c>
      <x:c r="AE60" s="89" t="str">
        <x:v>high</x:v>
      </x:c>
      <x:c r="AF60" s="101" t="str">
        <x:v>루브릭 일치</x:v>
      </x:c>
      <x:c r="AG60" s="101" t="str">
        <x:v>목표: 독해 추론 · 독해 목표가 콘텐츠 학습 목표와 직접 일치 (35/35); 유형: 행동 프로필이 없어 유형 항목을 평가에서 제외; 시간: 행동 프로필이 없어 시간 항목을 평가에서 제외; 수준: 사용자 레벨 2과 난이도 2가 일치 (20/20). 적용 항목 재환산 100점으로 판단했으며 최종 라벨은 high.</x:v>
      </x:c>
      <x:c r="AH60" s="101" t="str">
        <x:v>우선 검토</x:v>
      </x:c>
      <x:c r="AI60" s="101" t="str">
        <x:v>Codex 초안</x:v>
      </x:c>
      <x:c r="AJ60" s="101" t="str"/>
    </x:row>
    <x:row r="61" ht="52" customHeight="1">
      <x:c r="A61" s="80" t="str">
        <x:v>user-06__content-38</x:v>
      </x:c>
      <x:c r="B61" s="80" t="str">
        <x:v>user-06</x:v>
      </x:c>
      <x:c r="C61" s="80" t="str">
        <x:v>프로필 없음형</x:v>
      </x:c>
      <x:c r="D61" s="80" t="str">
        <x:v>기존 · 행동 프로필 없음</x:v>
      </x:c>
      <x:c r="E61" s="80" t="str">
        <x:v>기존</x:v>
      </x:c>
      <x:c r="F61" s="80" t="n">
        <x:v>2</x:v>
      </x:c>
      <x:c r="G61" s="92" t="str">
        <x:v>업무 독해의 정확도 향상</x:v>
      </x:c>
      <x:c r="H61" s="92" t="str">
        <x:v>독해 · 문맥 어휘 · 독해 추론</x:v>
      </x:c>
      <x:c r="I61" s="92" t="str">
        <x:v>없음</x:v>
      </x:c>
      <x:c r="J61" s="92" t="str">
        <x:v>정보 없음</x:v>
      </x:c>
      <x:c r="K61" s="92" t="str">
        <x:v>정보 없음</x:v>
      </x:c>
      <x:c r="L61" s="80"/>
      <x:c r="M61" s="80" t="str">
        <x:v>content-38</x:v>
      </x:c>
      <x:c r="N61" s="96" t="str">
        <x:v>독해 추론 예문 읽기</x:v>
      </x:c>
      <x:c r="O61" s="96" t="str">
        <x:v>예문 읽기</x:v>
      </x:c>
      <x:c r="P61" s="96" t="n">
        <x:v>2</x:v>
      </x:c>
      <x:c r="Q61" s="96" t="n">
        <x:v>12</x:v>
      </x:c>
      <x:c r="R61" s="92" t="str">
        <x:v>독해 추론 문맥 속 쓰임을 구별</x:v>
      </x:c>
      <x:c r="S61" s="92" t="str">
        <x:v>독해 추론 · 독해</x:v>
      </x:c>
      <x:c r="T61" s="97" t="str">
        <x:v>직접 일치</x:v>
      </x:c>
      <x:c r="U61" s="86" t="n">
        <x:v>35</x:v>
      </x:c>
      <x:c r="V61" s="86" t="str">
        <x:v>N/A</x:v>
      </x:c>
      <x:c r="W61" s="86"/>
      <x:c r="X61" s="86" t="str">
        <x:v>N/A</x:v>
      </x:c>
      <x:c r="Y61" s="86"/>
      <x:c r="Z61" s="86" t="str">
        <x:v>정확히 일치</x:v>
      </x:c>
      <x:c r="AA61" s="86" t="n">
        <x:v>20</x:v>
      </x:c>
      <x:c r="AB61" s="86" t="n">
        <x:f>35+IF(W61="",0,25)+IF(Y61="",0,20)+20</x:f>
        <x:v>55</x:v>
      </x:c>
      <x:c r="AC61" s="104" t="n">
        <x:f>ROUND((U61+IF(W61="",0,W61)+IF(Y61="",0,Y61)+AA61)/AB61*100,1)</x:f>
        <x:v>100</x:v>
      </x:c>
      <x:c r="AD61" s="86" t="str">
        <x:f>IF(AC61&gt;=80,"high",IF(AC61&gt;=50,"medium","low"))</x:f>
        <x:v>high</x:v>
      </x:c>
      <x:c r="AE61" s="89" t="str">
        <x:v>high</x:v>
      </x:c>
      <x:c r="AF61" s="101" t="str">
        <x:v>루브릭 일치</x:v>
      </x:c>
      <x:c r="AG61" s="101" t="str">
        <x:v>목표: 독해 추론 · 독해 목표가 콘텐츠 학습 목표와 직접 일치 (35/35); 유형: 행동 프로필이 없어 유형 항목을 평가에서 제외; 시간: 행동 프로필이 없어 시간 항목을 평가에서 제외; 수준: 사용자 레벨 2과 난이도 2가 일치 (20/20). 적용 항목 재환산 100점으로 판단했으며 최종 라벨은 high.</x:v>
      </x:c>
      <x:c r="AH61" s="101" t="str">
        <x:v>우선 검토</x:v>
      </x:c>
      <x:c r="AI61" s="101" t="str">
        <x:v>Codex 초안</x:v>
      </x:c>
      <x:c r="AJ61" s="101" t="str"/>
    </x:row>
    <x:row r="62" ht="52" customHeight="1">
      <x:c r="A62" s="80" t="str">
        <x:v>user-06__content-39</x:v>
      </x:c>
      <x:c r="B62" s="80" t="str">
        <x:v>user-06</x:v>
      </x:c>
      <x:c r="C62" s="80" t="str">
        <x:v>프로필 없음형</x:v>
      </x:c>
      <x:c r="D62" s="80" t="str">
        <x:v>기존 · 행동 프로필 없음</x:v>
      </x:c>
      <x:c r="E62" s="80" t="str">
        <x:v>기존</x:v>
      </x:c>
      <x:c r="F62" s="80" t="n">
        <x:v>2</x:v>
      </x:c>
      <x:c r="G62" s="92" t="str">
        <x:v>업무 독해의 정확도 향상</x:v>
      </x:c>
      <x:c r="H62" s="92" t="str">
        <x:v>독해 · 문맥 어휘 · 독해 추론</x:v>
      </x:c>
      <x:c r="I62" s="92" t="str">
        <x:v>없음</x:v>
      </x:c>
      <x:c r="J62" s="92" t="str">
        <x:v>정보 없음</x:v>
      </x:c>
      <x:c r="K62" s="92" t="str">
        <x:v>정보 없음</x:v>
      </x:c>
      <x:c r="L62" s="80"/>
      <x:c r="M62" s="80" t="str">
        <x:v>content-39</x:v>
      </x:c>
      <x:c r="N62" s="96" t="str">
        <x:v>독해 추론 심화 문제</x:v>
      </x:c>
      <x:c r="O62" s="96" t="str">
        <x:v>심화 문제</x:v>
      </x:c>
      <x:c r="P62" s="96" t="n">
        <x:v>3</x:v>
      </x:c>
      <x:c r="Q62" s="96" t="n">
        <x:v>22</x:v>
      </x:c>
      <x:c r="R62" s="92" t="str">
        <x:v>독해 추론 복합 문장에서 정확히 적용</x:v>
      </x:c>
      <x:c r="S62" s="92" t="str">
        <x:v>독해 추론 · 독해</x:v>
      </x:c>
      <x:c r="T62" s="97" t="str">
        <x:v>직접 일치</x:v>
      </x:c>
      <x:c r="U62" s="86" t="n">
        <x:v>35</x:v>
      </x:c>
      <x:c r="V62" s="86" t="str">
        <x:v>N/A</x:v>
      </x:c>
      <x:c r="W62" s="86"/>
      <x:c r="X62" s="86" t="str">
        <x:v>N/A</x:v>
      </x:c>
      <x:c r="Y62" s="86"/>
      <x:c r="Z62" s="86" t="str">
        <x:v>허용 범위</x:v>
      </x:c>
      <x:c r="AA62" s="86" t="n">
        <x:v>14</x:v>
      </x:c>
      <x:c r="AB62" s="86" t="n">
        <x:f>35+IF(W62="",0,25)+IF(Y62="",0,20)+20</x:f>
        <x:v>55</x:v>
      </x:c>
      <x:c r="AC62" s="104" t="n">
        <x:f>ROUND((U62+IF(W62="",0,W62)+IF(Y62="",0,Y62)+AA62)/AB62*100,1)</x:f>
        <x:v>89.1</x:v>
      </x:c>
      <x:c r="AD62" s="86" t="str">
        <x:f>IF(AC62&gt;=80,"high",IF(AC62&gt;=50,"medium","low"))</x:f>
        <x:v>high</x:v>
      </x:c>
      <x:c r="AE62" s="89" t="str">
        <x:v>medium</x:v>
      </x:c>
      <x:c r="AF62" s="101" t="str">
        <x:v>high → medium 정성 조정</x:v>
      </x:c>
      <x:c r="AG62" s="101" t="str">
        <x:v>목표: 독해 추론 · 독해 목표가 콘텐츠 학습 목표와 직접 일치 (35/35); 유형: 행동 프로필이 없어 유형 항목을 평가에서 제외; 시간: 행동 프로필이 없어 시간 항목을 평가에서 제외; 수준: 사용자 레벨과 난이도 차이가 1단계 (14/20). 적용 항목 재환산 89.1점으로 판단했으며 최종 라벨은 medium.</x:v>
      </x:c>
      <x:c r="AH62" s="101" t="str">
        <x:v>우선 검토</x:v>
      </x:c>
      <x:c r="AI62" s="101" t="str">
        <x:v>Codex 초안</x:v>
      </x:c>
      <x:c r="AJ62" s="101" t="str"/>
    </x:row>
    <x:row r="63" ht="52" customHeight="1">
      <x:c r="A63" s="80" t="str">
        <x:v>user-06__content-40</x:v>
      </x:c>
      <x:c r="B63" s="80" t="str">
        <x:v>user-06</x:v>
      </x:c>
      <x:c r="C63" s="80" t="str">
        <x:v>프로필 없음형</x:v>
      </x:c>
      <x:c r="D63" s="80" t="str">
        <x:v>기존 · 행동 프로필 없음</x:v>
      </x:c>
      <x:c r="E63" s="80" t="str">
        <x:v>기존</x:v>
      </x:c>
      <x:c r="F63" s="80" t="n">
        <x:v>2</x:v>
      </x:c>
      <x:c r="G63" s="92" t="str">
        <x:v>업무 독해의 정확도 향상</x:v>
      </x:c>
      <x:c r="H63" s="92" t="str">
        <x:v>독해 · 문맥 어휘 · 독해 추론</x:v>
      </x:c>
      <x:c r="I63" s="92" t="str">
        <x:v>없음</x:v>
      </x:c>
      <x:c r="J63" s="92" t="str">
        <x:v>정보 없음</x:v>
      </x:c>
      <x:c r="K63" s="92" t="str">
        <x:v>정보 없음</x:v>
      </x:c>
      <x:c r="L63" s="80"/>
      <x:c r="M63" s="80" t="str">
        <x:v>content-40</x:v>
      </x:c>
      <x:c r="N63" s="96" t="str">
        <x:v>독해 추론 오답 교정</x:v>
      </x:c>
      <x:c r="O63" s="96" t="str">
        <x:v>퀴즈</x:v>
      </x:c>
      <x:c r="P63" s="96" t="n">
        <x:v>2</x:v>
      </x:c>
      <x:c r="Q63" s="96" t="n">
        <x:v>9</x:v>
      </x:c>
      <x:c r="R63" s="92" t="str">
        <x:v>독해 추론 자주 틀리는 유형을 교정</x:v>
      </x:c>
      <x:c r="S63" s="92" t="str">
        <x:v>독해 추론 · 독해</x:v>
      </x:c>
      <x:c r="T63" s="97" t="str">
        <x:v>직접 일치</x:v>
      </x:c>
      <x:c r="U63" s="86" t="n">
        <x:v>35</x:v>
      </x:c>
      <x:c r="V63" s="86" t="str">
        <x:v>N/A</x:v>
      </x:c>
      <x:c r="W63" s="86"/>
      <x:c r="X63" s="86" t="str">
        <x:v>N/A</x:v>
      </x:c>
      <x:c r="Y63" s="86"/>
      <x:c r="Z63" s="86" t="str">
        <x:v>정확히 일치</x:v>
      </x:c>
      <x:c r="AA63" s="86" t="n">
        <x:v>20</x:v>
      </x:c>
      <x:c r="AB63" s="86" t="n">
        <x:f>35+IF(W63="",0,25)+IF(Y63="",0,20)+20</x:f>
        <x:v>55</x:v>
      </x:c>
      <x:c r="AC63" s="104" t="n">
        <x:f>ROUND((U63+IF(W63="",0,W63)+IF(Y63="",0,Y63)+AA63)/AB63*100,1)</x:f>
        <x:v>100</x:v>
      </x:c>
      <x:c r="AD63" s="86" t="str">
        <x:f>IF(AC63&gt;=80,"high",IF(AC63&gt;=50,"medium","low"))</x:f>
        <x:v>high</x:v>
      </x:c>
      <x:c r="AE63" s="89" t="str">
        <x:v>high</x:v>
      </x:c>
      <x:c r="AF63" s="101" t="str">
        <x:v>루브릭 일치</x:v>
      </x:c>
      <x:c r="AG63" s="101" t="str">
        <x:v>목표: 독해 추론 · 독해 목표가 콘텐츠 학습 목표와 직접 일치 (35/35); 유형: 행동 프로필이 없어 유형 항목을 평가에서 제외; 시간: 행동 프로필이 없어 시간 항목을 평가에서 제외; 수준: 사용자 레벨 2과 난이도 2가 일치 (20/20). 적용 항목 재환산 100점으로 판단했으며 최종 라벨은 high.</x:v>
      </x:c>
      <x:c r="AH63" s="101" t="str">
        <x:v>우선 검토</x:v>
      </x:c>
      <x:c r="AI63" s="101" t="str">
        <x:v>Codex 초안</x:v>
      </x:c>
      <x:c r="AJ63" s="101" t="str"/>
    </x:row>
    <x:row r="64" ht="52" customHeight="1">
      <x:c r="A64" s="80" t="str">
        <x:v>user-06__content-21</x:v>
      </x:c>
      <x:c r="B64" s="80" t="str">
        <x:v>user-06</x:v>
      </x:c>
      <x:c r="C64" s="80" t="str">
        <x:v>프로필 없음형</x:v>
      </x:c>
      <x:c r="D64" s="80" t="str">
        <x:v>기존 · 행동 프로필 없음</x:v>
      </x:c>
      <x:c r="E64" s="80" t="str">
        <x:v>기존</x:v>
      </x:c>
      <x:c r="F64" s="80" t="n">
        <x:v>2</x:v>
      </x:c>
      <x:c r="G64" s="92" t="str">
        <x:v>업무 독해의 정확도 향상</x:v>
      </x:c>
      <x:c r="H64" s="92" t="str">
        <x:v>독해 · 문맥 어휘 · 독해 추론</x:v>
      </x:c>
      <x:c r="I64" s="92" t="str">
        <x:v>없음</x:v>
      </x:c>
      <x:c r="J64" s="92" t="str">
        <x:v>정보 없음</x:v>
      </x:c>
      <x:c r="K64" s="92" t="str">
        <x:v>정보 없음</x:v>
      </x:c>
      <x:c r="L64" s="80"/>
      <x:c r="M64" s="80" t="str">
        <x:v>content-21</x:v>
      </x:c>
      <x:c r="N64" s="96" t="str">
        <x:v>관계대명사 핵심 퀴즈</x:v>
      </x:c>
      <x:c r="O64" s="96" t="str">
        <x:v>퀴즈</x:v>
      </x:c>
      <x:c r="P64" s="96" t="n">
        <x:v>1</x:v>
      </x:c>
      <x:c r="Q64" s="96" t="n">
        <x:v>6</x:v>
      </x:c>
      <x:c r="R64" s="92" t="str">
        <x:v>관계대명사 핵심 규칙을 빠르게 확인</x:v>
      </x:c>
      <x:c r="S64" s="92" t="str">
        <x:v>관계절 · 문법</x:v>
      </x:c>
      <x:c r="T64" s="97" t="str">
        <x:v>관련 낮음</x:v>
      </x:c>
      <x:c r="U64" s="86" t="n">
        <x:v>5</x:v>
      </x:c>
      <x:c r="V64" s="86" t="str">
        <x:v>N/A</x:v>
      </x:c>
      <x:c r="W64" s="86"/>
      <x:c r="X64" s="86" t="str">
        <x:v>N/A</x:v>
      </x:c>
      <x:c r="Y64" s="86"/>
      <x:c r="Z64" s="86" t="str">
        <x:v>허용 범위</x:v>
      </x:c>
      <x:c r="AA64" s="86" t="n">
        <x:v>14</x:v>
      </x:c>
      <x:c r="AB64" s="86" t="n">
        <x:f>35+IF(W64="",0,25)+IF(Y64="",0,20)+20</x:f>
        <x:v>55</x:v>
      </x:c>
      <x:c r="AC64" s="104" t="n">
        <x:f>ROUND((U64+IF(W64="",0,W64)+IF(Y64="",0,Y64)+AA64)/AB64*100,1)</x:f>
        <x:v>34.5</x:v>
      </x:c>
      <x:c r="AD64" s="86" t="str">
        <x:f>IF(AC64&gt;=80,"high",IF(AC64&gt;=50,"medium","low"))</x:f>
        <x:v>low</x:v>
      </x:c>
      <x:c r="AE64" s="89" t="str">
        <x:v>medium</x:v>
      </x:c>
      <x:c r="AF64" s="101" t="str">
        <x:v>low → medium 정성 조정</x:v>
      </x:c>
      <x:c r="AG64" s="101" t="str">
        <x:v>목표: 사용자 목표 태그와 콘텐츠 학습 목표의 직접 연결이 없음 (5/35); 유형: 행동 프로필이 없어 유형 항목을 평가에서 제외; 시간: 행동 프로필이 없어 시간 항목을 평가에서 제외; 수준: 사용자 레벨과 난이도 차이가 1단계 (14/20). 적용 항목 재환산 34.5점으로 판단했으며 최종 라벨은 medium.</x:v>
      </x:c>
      <x:c r="AH64" s="101" t="str">
        <x:v>우선 검토</x:v>
      </x:c>
      <x:c r="AI64" s="101" t="str">
        <x:v>Codex 초안</x:v>
      </x:c>
      <x:c r="AJ64" s="101" t="str"/>
    </x:row>
    <x:row r="65" ht="52" customHeight="1">
      <x:c r="A65" s="80" t="str">
        <x:v>user-07__content-26</x:v>
      </x:c>
      <x:c r="B65" s="80" t="str">
        <x:v>user-07</x:v>
      </x:c>
      <x:c r="C65" s="80" t="str">
        <x:v>최근 하락형</x:v>
      </x:c>
      <x:c r="D65" s="80" t="str">
        <x:v>기존 · 최근 5회 성적 급락</x:v>
      </x:c>
      <x:c r="E65" s="80" t="str">
        <x:v>기존</x:v>
      </x:c>
      <x:c r="F65" s="80" t="n">
        <x:v>2</x:v>
      </x:c>
      <x:c r="G65" s="92" t="str">
        <x:v>가정법과 시제 실수 회복</x:v>
      </x:c>
      <x:c r="H65" s="92" t="str">
        <x:v>가정법 · 시제 · 문법</x:v>
      </x:c>
      <x:c r="I65" s="92" t="str">
        <x:v>있음</x:v>
      </x:c>
      <x:c r="J65" s="92" t="str">
        <x:v>심화 문제 → 퀴즈</x:v>
      </x:c>
      <x:c r="K65" s="92" t="str">
        <x:v>퀴즈 67% · 영상 강의 100% · 심화 문제 80%</x:v>
      </x:c>
      <x:c r="L65" s="80" t="n">
        <x:v>17.8</x:v>
      </x:c>
      <x:c r="M65" s="80" t="str">
        <x:v>content-26</x:v>
      </x:c>
      <x:c r="N65" s="96" t="str">
        <x:v>가정법 핵심 퀴즈</x:v>
      </x:c>
      <x:c r="O65" s="96" t="str">
        <x:v>퀴즈</x:v>
      </x:c>
      <x:c r="P65" s="96" t="n">
        <x:v>1</x:v>
      </x:c>
      <x:c r="Q65" s="96" t="n">
        <x:v>6</x:v>
      </x:c>
      <x:c r="R65" s="92" t="str">
        <x:v>가정법 핵심 규칙을 빠르게 확인</x:v>
      </x:c>
      <x:c r="S65" s="92" t="str">
        <x:v>가정법 · 문법</x:v>
      </x:c>
      <x:c r="T65" s="97" t="str">
        <x:v>직접 일치</x:v>
      </x:c>
      <x:c r="U65" s="86" t="n">
        <x:v>35</x:v>
      </x:c>
      <x:c r="V65" s="86" t="str">
        <x:v>적합</x:v>
      </x:c>
      <x:c r="W65" s="86" t="n">
        <x:v>22</x:v>
      </x:c>
      <x:c r="X65" s="86" t="str">
        <x:v>매우 적합</x:v>
      </x:c>
      <x:c r="Y65" s="86" t="n">
        <x:v>20</x:v>
      </x:c>
      <x:c r="Z65" s="86" t="str">
        <x:v>허용 범위</x:v>
      </x:c>
      <x:c r="AA65" s="86" t="n">
        <x:v>14</x:v>
      </x:c>
      <x:c r="AB65" s="86" t="n">
        <x:f>35+IF(W65="",0,25)+IF(Y65="",0,20)+20</x:f>
        <x:v>100</x:v>
      </x:c>
      <x:c r="AC65" s="104" t="n">
        <x:f>ROUND((U65+IF(W65="",0,W65)+IF(Y65="",0,Y65)+AA65)/AB65*100,1)</x:f>
        <x:v>91</x:v>
      </x:c>
      <x:c r="AD65" s="86" t="str">
        <x:f>IF(AC65&gt;=80,"high",IF(AC65&gt;=50,"medium","low"))</x:f>
        <x:v>high</x:v>
      </x:c>
      <x:c r="AE65" s="89" t="str">
        <x:v>high</x:v>
      </x:c>
      <x:c r="AF65" s="101" t="str">
        <x:v>루브릭 일치</x:v>
      </x:c>
      <x:c r="AG65" s="101" t="str">
        <x:v>목표: 가정법 목표가 콘텐츠 학습 목표와 직접 일치 (35/35); 유형: 2순위 선호 유형 (22/25); 시간: 6분이 평균 17.8분 이내 (20/20); 수준: 사용자 레벨과 난이도 차이가 1단계 (14/20). 적용 항목 재환산 91점으로 판단했으며 최종 라벨은 high.</x:v>
      </x:c>
      <x:c r="AH65" s="101" t="str">
        <x:v>우선 검토</x:v>
      </x:c>
      <x:c r="AI65" s="101" t="str">
        <x:v>Codex 초안</x:v>
      </x:c>
      <x:c r="AJ65" s="101" t="str"/>
    </x:row>
    <x:row r="66" ht="52" customHeight="1">
      <x:c r="A66" s="80" t="str">
        <x:v>user-07__content-27</x:v>
      </x:c>
      <x:c r="B66" s="80" t="str">
        <x:v>user-07</x:v>
      </x:c>
      <x:c r="C66" s="80" t="str">
        <x:v>최근 하락형</x:v>
      </x:c>
      <x:c r="D66" s="80" t="str">
        <x:v>기존 · 최근 5회 성적 급락</x:v>
      </x:c>
      <x:c r="E66" s="80" t="str">
        <x:v>기존</x:v>
      </x:c>
      <x:c r="F66" s="80" t="n">
        <x:v>2</x:v>
      </x:c>
      <x:c r="G66" s="92" t="str">
        <x:v>가정법과 시제 실수 회복</x:v>
      </x:c>
      <x:c r="H66" s="92" t="str">
        <x:v>가정법 · 시제 · 문법</x:v>
      </x:c>
      <x:c r="I66" s="92" t="str">
        <x:v>있음</x:v>
      </x:c>
      <x:c r="J66" s="92" t="str">
        <x:v>심화 문제 → 퀴즈</x:v>
      </x:c>
      <x:c r="K66" s="92" t="str">
        <x:v>퀴즈 67% · 영상 강의 100% · 심화 문제 80%</x:v>
      </x:c>
      <x:c r="L66" s="80" t="n">
        <x:v>17.8</x:v>
      </x:c>
      <x:c r="M66" s="80" t="str">
        <x:v>content-27</x:v>
      </x:c>
      <x:c r="N66" s="96" t="str">
        <x:v>가정법 개념 강의</x:v>
      </x:c>
      <x:c r="O66" s="96" t="str">
        <x:v>영상 강의</x:v>
      </x:c>
      <x:c r="P66" s="96" t="n">
        <x:v>2</x:v>
      </x:c>
      <x:c r="Q66" s="96" t="n">
        <x:v>18</x:v>
      </x:c>
      <x:c r="R66" s="92" t="str">
        <x:v>가정법 대표 쓰임과 오류를 이해</x:v>
      </x:c>
      <x:c r="S66" s="92" t="str">
        <x:v>가정법 · 문법</x:v>
      </x:c>
      <x:c r="T66" s="97" t="str">
        <x:v>직접 일치</x:v>
      </x:c>
      <x:c r="U66" s="86" t="n">
        <x:v>35</x:v>
      </x:c>
      <x:c r="V66" s="86" t="str">
        <x:v>적합</x:v>
      </x:c>
      <x:c r="W66" s="86" t="n">
        <x:v>20</x:v>
      </x:c>
      <x:c r="X66" s="86" t="str">
        <x:v>적합</x:v>
      </x:c>
      <x:c r="Y66" s="86" t="n">
        <x:v>16</x:v>
      </x:c>
      <x:c r="Z66" s="86" t="str">
        <x:v>정확히 일치</x:v>
      </x:c>
      <x:c r="AA66" s="86" t="n">
        <x:v>20</x:v>
      </x:c>
      <x:c r="AB66" s="86" t="n">
        <x:f>35+IF(W66="",0,25)+IF(Y66="",0,20)+20</x:f>
        <x:v>100</x:v>
      </x:c>
      <x:c r="AC66" s="104" t="n">
        <x:f>ROUND((U66+IF(W66="",0,W66)+IF(Y66="",0,Y66)+AA66)/AB66*100,1)</x:f>
        <x:v>91</x:v>
      </x:c>
      <x:c r="AD66" s="86" t="str">
        <x:f>IF(AC66&gt;=80,"high",IF(AC66&gt;=50,"medium","low"))</x:f>
        <x:v>high</x:v>
      </x:c>
      <x:c r="AE66" s="89" t="str">
        <x:v>high</x:v>
      </x:c>
      <x:c r="AF66" s="101" t="str">
        <x:v>루브릭 일치</x:v>
      </x:c>
      <x:c r="AG66" s="101" t="str">
        <x:v>목표: 가정법 목표가 콘텐츠 학습 목표와 직접 일치 (35/35); 유형: 선호 순위에는 없지만 완료율 100% (20/25); 시간: 18분이 평균 학습 시간의 1.25배 이내 (16/20); 수준: 사용자 레벨 2과 난이도 2가 일치 (20/20). 적용 항목 재환산 91점으로 판단했으며 최종 라벨은 high.</x:v>
      </x:c>
      <x:c r="AH66" s="101" t="str">
        <x:v>우선 검토</x:v>
      </x:c>
      <x:c r="AI66" s="101" t="str">
        <x:v>Codex 초안</x:v>
      </x:c>
      <x:c r="AJ66" s="101" t="str"/>
    </x:row>
    <x:row r="67" ht="52" customHeight="1">
      <x:c r="A67" s="80" t="str">
        <x:v>user-07__content-28</x:v>
      </x:c>
      <x:c r="B67" s="80" t="str">
        <x:v>user-07</x:v>
      </x:c>
      <x:c r="C67" s="80" t="str">
        <x:v>최근 하락형</x:v>
      </x:c>
      <x:c r="D67" s="80" t="str">
        <x:v>기존 · 최근 5회 성적 급락</x:v>
      </x:c>
      <x:c r="E67" s="80" t="str">
        <x:v>기존</x:v>
      </x:c>
      <x:c r="F67" s="80" t="n">
        <x:v>2</x:v>
      </x:c>
      <x:c r="G67" s="92" t="str">
        <x:v>가정법과 시제 실수 회복</x:v>
      </x:c>
      <x:c r="H67" s="92" t="str">
        <x:v>가정법 · 시제 · 문법</x:v>
      </x:c>
      <x:c r="I67" s="92" t="str">
        <x:v>있음</x:v>
      </x:c>
      <x:c r="J67" s="92" t="str">
        <x:v>심화 문제 → 퀴즈</x:v>
      </x:c>
      <x:c r="K67" s="92" t="str">
        <x:v>퀴즈 67% · 영상 강의 100% · 심화 문제 80%</x:v>
      </x:c>
      <x:c r="L67" s="80" t="n">
        <x:v>17.8</x:v>
      </x:c>
      <x:c r="M67" s="80" t="str">
        <x:v>content-28</x:v>
      </x:c>
      <x:c r="N67" s="96" t="str">
        <x:v>가정법 예문 읽기</x:v>
      </x:c>
      <x:c r="O67" s="96" t="str">
        <x:v>예문 읽기</x:v>
      </x:c>
      <x:c r="P67" s="96" t="n">
        <x:v>2</x:v>
      </x:c>
      <x:c r="Q67" s="96" t="n">
        <x:v>12</x:v>
      </x:c>
      <x:c r="R67" s="92" t="str">
        <x:v>가정법 문맥 속 쓰임을 구별</x:v>
      </x:c>
      <x:c r="S67" s="92" t="str">
        <x:v>가정법 · 문법</x:v>
      </x:c>
      <x:c r="T67" s="97" t="str">
        <x:v>직접 일치</x:v>
      </x:c>
      <x:c r="U67" s="86" t="n">
        <x:v>35</x:v>
      </x:c>
      <x:c r="V67" s="86" t="str">
        <x:v>N/A</x:v>
      </x:c>
      <x:c r="W67" s="86"/>
      <x:c r="X67" s="86" t="str">
        <x:v>매우 적합</x:v>
      </x:c>
      <x:c r="Y67" s="86" t="n">
        <x:v>20</x:v>
      </x:c>
      <x:c r="Z67" s="86" t="str">
        <x:v>정확히 일치</x:v>
      </x:c>
      <x:c r="AA67" s="86" t="n">
        <x:v>20</x:v>
      </x:c>
      <x:c r="AB67" s="86" t="n">
        <x:f>35+IF(W67="",0,25)+IF(Y67="",0,20)+20</x:f>
        <x:v>75</x:v>
      </x:c>
      <x:c r="AC67" s="104" t="n">
        <x:f>ROUND((U67+IF(W67="",0,W67)+IF(Y67="",0,Y67)+AA67)/AB67*100,1)</x:f>
        <x:v>100</x:v>
      </x:c>
      <x:c r="AD67" s="86" t="str">
        <x:f>IF(AC67&gt;=80,"high",IF(AC67&gt;=50,"medium","low"))</x:f>
        <x:v>high</x:v>
      </x:c>
      <x:c r="AE67" s="89" t="str">
        <x:v>medium</x:v>
      </x:c>
      <x:c r="AF67" s="101" t="str">
        <x:v>high → medium 정성 조정</x:v>
      </x:c>
      <x:c r="AG67" s="101" t="str">
        <x:v>목표: 가정법 목표가 콘텐츠 학습 목표와 직접 일치 (35/35); 유형: 해당 유형 관찰 이력이 없어 비선호로 추측하지 않고 제외; 시간: 12분이 평균 17.8분 이내 (20/20); 수준: 사용자 레벨 2과 난이도 2가 일치 (20/20). 적용 항목 재환산 100점으로 판단했으며 최종 라벨은 medium.</x:v>
      </x:c>
      <x:c r="AH67" s="101" t="str">
        <x:v>우선 검토</x:v>
      </x:c>
      <x:c r="AI67" s="101" t="str">
        <x:v>Codex 초안</x:v>
      </x:c>
      <x:c r="AJ67" s="101" t="str"/>
    </x:row>
    <x:row r="68" ht="52" customHeight="1">
      <x:c r="A68" s="80" t="str">
        <x:v>user-07__content-29</x:v>
      </x:c>
      <x:c r="B68" s="80" t="str">
        <x:v>user-07</x:v>
      </x:c>
      <x:c r="C68" s="80" t="str">
        <x:v>최근 하락형</x:v>
      </x:c>
      <x:c r="D68" s="80" t="str">
        <x:v>기존 · 최근 5회 성적 급락</x:v>
      </x:c>
      <x:c r="E68" s="80" t="str">
        <x:v>기존</x:v>
      </x:c>
      <x:c r="F68" s="80" t="n">
        <x:v>2</x:v>
      </x:c>
      <x:c r="G68" s="92" t="str">
        <x:v>가정법과 시제 실수 회복</x:v>
      </x:c>
      <x:c r="H68" s="92" t="str">
        <x:v>가정법 · 시제 · 문법</x:v>
      </x:c>
      <x:c r="I68" s="92" t="str">
        <x:v>있음</x:v>
      </x:c>
      <x:c r="J68" s="92" t="str">
        <x:v>심화 문제 → 퀴즈</x:v>
      </x:c>
      <x:c r="K68" s="92" t="str">
        <x:v>퀴즈 67% · 영상 강의 100% · 심화 문제 80%</x:v>
      </x:c>
      <x:c r="L68" s="80" t="n">
        <x:v>17.8</x:v>
      </x:c>
      <x:c r="M68" s="80" t="str">
        <x:v>content-29</x:v>
      </x:c>
      <x:c r="N68" s="96" t="str">
        <x:v>가정법 심화 문제</x:v>
      </x:c>
      <x:c r="O68" s="96" t="str">
        <x:v>심화 문제</x:v>
      </x:c>
      <x:c r="P68" s="96" t="n">
        <x:v>3</x:v>
      </x:c>
      <x:c r="Q68" s="96" t="n">
        <x:v>22</x:v>
      </x:c>
      <x:c r="R68" s="92" t="str">
        <x:v>가정법 복합 문장에서 정확히 적용</x:v>
      </x:c>
      <x:c r="S68" s="92" t="str">
        <x:v>가정법 · 문법</x:v>
      </x:c>
      <x:c r="T68" s="97" t="str">
        <x:v>직접 일치</x:v>
      </x:c>
      <x:c r="U68" s="86" t="n">
        <x:v>35</x:v>
      </x:c>
      <x:c r="V68" s="86" t="str">
        <x:v>매우 적합</x:v>
      </x:c>
      <x:c r="W68" s="86" t="n">
        <x:v>25</x:v>
      </x:c>
      <x:c r="X68" s="86" t="str">
        <x:v>적합</x:v>
      </x:c>
      <x:c r="Y68" s="86" t="n">
        <x:v>16</x:v>
      </x:c>
      <x:c r="Z68" s="86" t="str">
        <x:v>허용 범위</x:v>
      </x:c>
      <x:c r="AA68" s="86" t="n">
        <x:v>14</x:v>
      </x:c>
      <x:c r="AB68" s="86" t="n">
        <x:f>35+IF(W68="",0,25)+IF(Y68="",0,20)+20</x:f>
        <x:v>100</x:v>
      </x:c>
      <x:c r="AC68" s="104" t="n">
        <x:f>ROUND((U68+IF(W68="",0,W68)+IF(Y68="",0,Y68)+AA68)/AB68*100,1)</x:f>
        <x:v>90</x:v>
      </x:c>
      <x:c r="AD68" s="86" t="str">
        <x:f>IF(AC68&gt;=80,"high",IF(AC68&gt;=50,"medium","low"))</x:f>
        <x:v>high</x:v>
      </x:c>
      <x:c r="AE68" s="89" t="str">
        <x:v>high</x:v>
      </x:c>
      <x:c r="AF68" s="101" t="str">
        <x:v>루브릭 일치</x:v>
      </x:c>
      <x:c r="AG68" s="101" t="str">
        <x:v>목표: 가정법 목표가 콘텐츠 학습 목표와 직접 일치 (35/35); 유형: 1순위 선호이며 완료율 80% (25/25); 시간: 22분이 평균 학습 시간의 1.25배 이내 (16/20); 수준: 사용자 레벨과 난이도 차이가 1단계 (14/20). 적용 항목 재환산 90점으로 판단했으며 최종 라벨은 high.</x:v>
      </x:c>
      <x:c r="AH68" s="101" t="str">
        <x:v>일반</x:v>
      </x:c>
      <x:c r="AI68" s="101" t="str">
        <x:v>Codex 초안</x:v>
      </x:c>
      <x:c r="AJ68" s="101" t="str"/>
    </x:row>
    <x:row r="69" ht="52" customHeight="1">
      <x:c r="A69" s="80" t="str">
        <x:v>user-07__content-30</x:v>
      </x:c>
      <x:c r="B69" s="80" t="str">
        <x:v>user-07</x:v>
      </x:c>
      <x:c r="C69" s="80" t="str">
        <x:v>최근 하락형</x:v>
      </x:c>
      <x:c r="D69" s="80" t="str">
        <x:v>기존 · 최근 5회 성적 급락</x:v>
      </x:c>
      <x:c r="E69" s="80" t="str">
        <x:v>기존</x:v>
      </x:c>
      <x:c r="F69" s="80" t="n">
        <x:v>2</x:v>
      </x:c>
      <x:c r="G69" s="92" t="str">
        <x:v>가정법과 시제 실수 회복</x:v>
      </x:c>
      <x:c r="H69" s="92" t="str">
        <x:v>가정법 · 시제 · 문법</x:v>
      </x:c>
      <x:c r="I69" s="92" t="str">
        <x:v>있음</x:v>
      </x:c>
      <x:c r="J69" s="92" t="str">
        <x:v>심화 문제 → 퀴즈</x:v>
      </x:c>
      <x:c r="K69" s="92" t="str">
        <x:v>퀴즈 67% · 영상 강의 100% · 심화 문제 80%</x:v>
      </x:c>
      <x:c r="L69" s="80" t="n">
        <x:v>17.8</x:v>
      </x:c>
      <x:c r="M69" s="80" t="str">
        <x:v>content-30</x:v>
      </x:c>
      <x:c r="N69" s="96" t="str">
        <x:v>가정법 오답 교정</x:v>
      </x:c>
      <x:c r="O69" s="96" t="str">
        <x:v>퀴즈</x:v>
      </x:c>
      <x:c r="P69" s="96" t="n">
        <x:v>2</x:v>
      </x:c>
      <x:c r="Q69" s="96" t="n">
        <x:v>9</x:v>
      </x:c>
      <x:c r="R69" s="92" t="str">
        <x:v>가정법 자주 틀리는 유형을 교정</x:v>
      </x:c>
      <x:c r="S69" s="92" t="str">
        <x:v>가정법 · 문법</x:v>
      </x:c>
      <x:c r="T69" s="97" t="str">
        <x:v>직접 일치</x:v>
      </x:c>
      <x:c r="U69" s="86" t="n">
        <x:v>35</x:v>
      </x:c>
      <x:c r="V69" s="86" t="str">
        <x:v>적합</x:v>
      </x:c>
      <x:c r="W69" s="86" t="n">
        <x:v>22</x:v>
      </x:c>
      <x:c r="X69" s="86" t="str">
        <x:v>매우 적합</x:v>
      </x:c>
      <x:c r="Y69" s="86" t="n">
        <x:v>20</x:v>
      </x:c>
      <x:c r="Z69" s="86" t="str">
        <x:v>정확히 일치</x:v>
      </x:c>
      <x:c r="AA69" s="86" t="n">
        <x:v>20</x:v>
      </x:c>
      <x:c r="AB69" s="86" t="n">
        <x:f>35+IF(W69="",0,25)+IF(Y69="",0,20)+20</x:f>
        <x:v>100</x:v>
      </x:c>
      <x:c r="AC69" s="104" t="n">
        <x:f>ROUND((U69+IF(W69="",0,W69)+IF(Y69="",0,Y69)+AA69)/AB69*100,1)</x:f>
        <x:v>97</x:v>
      </x:c>
      <x:c r="AD69" s="86" t="str">
        <x:f>IF(AC69&gt;=80,"high",IF(AC69&gt;=50,"medium","low"))</x:f>
        <x:v>high</x:v>
      </x:c>
      <x:c r="AE69" s="89" t="str">
        <x:v>high</x:v>
      </x:c>
      <x:c r="AF69" s="101" t="str">
        <x:v>루브릭 일치</x:v>
      </x:c>
      <x:c r="AG69" s="101" t="str">
        <x:v>목표: 가정법 목표가 콘텐츠 학습 목표와 직접 일치 (35/35); 유형: 2순위 선호 유형 (22/25); 시간: 9분이 평균 17.8분 이내 (20/20); 수준: 사용자 레벨 2과 난이도 2가 일치 (20/20). 적용 항목 재환산 97점으로 판단했으며 최종 라벨은 high.</x:v>
      </x:c>
      <x:c r="AH69" s="101" t="str">
        <x:v>일반</x:v>
      </x:c>
      <x:c r="AI69" s="101" t="str">
        <x:v>Codex 초안</x:v>
      </x:c>
      <x:c r="AJ69" s="101" t="str"/>
    </x:row>
    <x:row r="70" ht="52" customHeight="1">
      <x:c r="A70" s="80" t="str">
        <x:v>user-07__content-01</x:v>
      </x:c>
      <x:c r="B70" s="80" t="str">
        <x:v>user-07</x:v>
      </x:c>
      <x:c r="C70" s="80" t="str">
        <x:v>최근 하락형</x:v>
      </x:c>
      <x:c r="D70" s="80" t="str">
        <x:v>기존 · 최근 5회 성적 급락</x:v>
      </x:c>
      <x:c r="E70" s="80" t="str">
        <x:v>기존</x:v>
      </x:c>
      <x:c r="F70" s="80" t="n">
        <x:v>2</x:v>
      </x:c>
      <x:c r="G70" s="92" t="str">
        <x:v>가정법과 시제 실수 회복</x:v>
      </x:c>
      <x:c r="H70" s="92" t="str">
        <x:v>가정법 · 시제 · 문법</x:v>
      </x:c>
      <x:c r="I70" s="92" t="str">
        <x:v>있음</x:v>
      </x:c>
      <x:c r="J70" s="92" t="str">
        <x:v>심화 문제 → 퀴즈</x:v>
      </x:c>
      <x:c r="K70" s="92" t="str">
        <x:v>퀴즈 67% · 영상 강의 100% · 심화 문제 80%</x:v>
      </x:c>
      <x:c r="L70" s="80" t="n">
        <x:v>17.8</x:v>
      </x:c>
      <x:c r="M70" s="80" t="str">
        <x:v>content-01</x:v>
      </x:c>
      <x:c r="N70" s="96" t="str">
        <x:v>현재완료 핵심 퀴즈</x:v>
      </x:c>
      <x:c r="O70" s="96" t="str">
        <x:v>퀴즈</x:v>
      </x:c>
      <x:c r="P70" s="96" t="n">
        <x:v>1</x:v>
      </x:c>
      <x:c r="Q70" s="96" t="n">
        <x:v>6</x:v>
      </x:c>
      <x:c r="R70" s="92" t="str">
        <x:v>현재완료 핵심 규칙을 빠르게 확인</x:v>
      </x:c>
      <x:c r="S70" s="92" t="str">
        <x:v>시제 · 문법</x:v>
      </x:c>
      <x:c r="T70" s="97" t="str">
        <x:v>직접 일치</x:v>
      </x:c>
      <x:c r="U70" s="86" t="n">
        <x:v>35</x:v>
      </x:c>
      <x:c r="V70" s="86" t="str">
        <x:v>적합</x:v>
      </x:c>
      <x:c r="W70" s="86" t="n">
        <x:v>22</x:v>
      </x:c>
      <x:c r="X70" s="86" t="str">
        <x:v>매우 적합</x:v>
      </x:c>
      <x:c r="Y70" s="86" t="n">
        <x:v>20</x:v>
      </x:c>
      <x:c r="Z70" s="86" t="str">
        <x:v>허용 범위</x:v>
      </x:c>
      <x:c r="AA70" s="86" t="n">
        <x:v>14</x:v>
      </x:c>
      <x:c r="AB70" s="86" t="n">
        <x:f>35+IF(W70="",0,25)+IF(Y70="",0,20)+20</x:f>
        <x:v>100</x:v>
      </x:c>
      <x:c r="AC70" s="104" t="n">
        <x:f>ROUND((U70+IF(W70="",0,W70)+IF(Y70="",0,Y70)+AA70)/AB70*100,1)</x:f>
        <x:v>91</x:v>
      </x:c>
      <x:c r="AD70" s="86" t="str">
        <x:f>IF(AC70&gt;=80,"high",IF(AC70&gt;=50,"medium","low"))</x:f>
        <x:v>high</x:v>
      </x:c>
      <x:c r="AE70" s="89" t="str">
        <x:v>high</x:v>
      </x:c>
      <x:c r="AF70" s="101" t="str">
        <x:v>루브릭 일치</x:v>
      </x:c>
      <x:c r="AG70" s="101" t="str">
        <x:v>목표: 시제 목표가 콘텐츠 학습 목표와 직접 일치 (35/35); 유형: 2순위 선호 유형 (22/25); 시간: 6분이 평균 17.8분 이내 (20/20); 수준: 사용자 레벨과 난이도 차이가 1단계 (14/20). 적용 항목 재환산 91점으로 판단했으며 최종 라벨은 high.</x:v>
      </x:c>
      <x:c r="AH70" s="101" t="str">
        <x:v>우선 검토</x:v>
      </x:c>
      <x:c r="AI70" s="101" t="str">
        <x:v>Codex 초안</x:v>
      </x:c>
      <x:c r="AJ70" s="101" t="str"/>
    </x:row>
    <x:row r="71" ht="52" customHeight="1">
      <x:c r="A71" s="80" t="str">
        <x:v>user-07__content-02</x:v>
      </x:c>
      <x:c r="B71" s="80" t="str">
        <x:v>user-07</x:v>
      </x:c>
      <x:c r="C71" s="80" t="str">
        <x:v>최근 하락형</x:v>
      </x:c>
      <x:c r="D71" s="80" t="str">
        <x:v>기존 · 최근 5회 성적 급락</x:v>
      </x:c>
      <x:c r="E71" s="80" t="str">
        <x:v>기존</x:v>
      </x:c>
      <x:c r="F71" s="80" t="n">
        <x:v>2</x:v>
      </x:c>
      <x:c r="G71" s="92" t="str">
        <x:v>가정법과 시제 실수 회복</x:v>
      </x:c>
      <x:c r="H71" s="92" t="str">
        <x:v>가정법 · 시제 · 문법</x:v>
      </x:c>
      <x:c r="I71" s="92" t="str">
        <x:v>있음</x:v>
      </x:c>
      <x:c r="J71" s="92" t="str">
        <x:v>심화 문제 → 퀴즈</x:v>
      </x:c>
      <x:c r="K71" s="92" t="str">
        <x:v>퀴즈 67% · 영상 강의 100% · 심화 문제 80%</x:v>
      </x:c>
      <x:c r="L71" s="80" t="n">
        <x:v>17.8</x:v>
      </x:c>
      <x:c r="M71" s="80" t="str">
        <x:v>content-02</x:v>
      </x:c>
      <x:c r="N71" s="96" t="str">
        <x:v>현재완료 개념 강의</x:v>
      </x:c>
      <x:c r="O71" s="96" t="str">
        <x:v>영상 강의</x:v>
      </x:c>
      <x:c r="P71" s="96" t="n">
        <x:v>2</x:v>
      </x:c>
      <x:c r="Q71" s="96" t="n">
        <x:v>18</x:v>
      </x:c>
      <x:c r="R71" s="92" t="str">
        <x:v>현재완료 대표 쓰임과 오류를 이해</x:v>
      </x:c>
      <x:c r="S71" s="92" t="str">
        <x:v>시제 · 문법</x:v>
      </x:c>
      <x:c r="T71" s="97" t="str">
        <x:v>직접 일치</x:v>
      </x:c>
      <x:c r="U71" s="86" t="n">
        <x:v>35</x:v>
      </x:c>
      <x:c r="V71" s="86" t="str">
        <x:v>적합</x:v>
      </x:c>
      <x:c r="W71" s="86" t="n">
        <x:v>20</x:v>
      </x:c>
      <x:c r="X71" s="86" t="str">
        <x:v>적합</x:v>
      </x:c>
      <x:c r="Y71" s="86" t="n">
        <x:v>16</x:v>
      </x:c>
      <x:c r="Z71" s="86" t="str">
        <x:v>정확히 일치</x:v>
      </x:c>
      <x:c r="AA71" s="86" t="n">
        <x:v>20</x:v>
      </x:c>
      <x:c r="AB71" s="86" t="n">
        <x:f>35+IF(W71="",0,25)+IF(Y71="",0,20)+20</x:f>
        <x:v>100</x:v>
      </x:c>
      <x:c r="AC71" s="104" t="n">
        <x:f>ROUND((U71+IF(W71="",0,W71)+IF(Y71="",0,Y71)+AA71)/AB71*100,1)</x:f>
        <x:v>91</x:v>
      </x:c>
      <x:c r="AD71" s="86" t="str">
        <x:f>IF(AC71&gt;=80,"high",IF(AC71&gt;=50,"medium","low"))</x:f>
        <x:v>high</x:v>
      </x:c>
      <x:c r="AE71" s="89" t="str">
        <x:v>high</x:v>
      </x:c>
      <x:c r="AF71" s="101" t="str">
        <x:v>루브릭 일치</x:v>
      </x:c>
      <x:c r="AG71" s="101" t="str">
        <x:v>목표: 시제 목표가 콘텐츠 학습 목표와 직접 일치 (35/35); 유형: 선호 순위에는 없지만 완료율 100% (20/25); 시간: 18분이 평균 학습 시간의 1.25배 이내 (16/20); 수준: 사용자 레벨 2과 난이도 2가 일치 (20/20). 적용 항목 재환산 91점으로 판단했으며 최종 라벨은 high.</x:v>
      </x:c>
      <x:c r="AH71" s="101" t="str">
        <x:v>우선 검토</x:v>
      </x:c>
      <x:c r="AI71" s="101" t="str">
        <x:v>Codex 초안</x:v>
      </x:c>
      <x:c r="AJ71" s="101" t="str"/>
    </x:row>
    <x:row r="72" ht="52" customHeight="1">
      <x:c r="A72" s="80" t="str">
        <x:v>user-07__content-03</x:v>
      </x:c>
      <x:c r="B72" s="80" t="str">
        <x:v>user-07</x:v>
      </x:c>
      <x:c r="C72" s="80" t="str">
        <x:v>최근 하락형</x:v>
      </x:c>
      <x:c r="D72" s="80" t="str">
        <x:v>기존 · 최근 5회 성적 급락</x:v>
      </x:c>
      <x:c r="E72" s="80" t="str">
        <x:v>기존</x:v>
      </x:c>
      <x:c r="F72" s="80" t="n">
        <x:v>2</x:v>
      </x:c>
      <x:c r="G72" s="92" t="str">
        <x:v>가정법과 시제 실수 회복</x:v>
      </x:c>
      <x:c r="H72" s="92" t="str">
        <x:v>가정법 · 시제 · 문법</x:v>
      </x:c>
      <x:c r="I72" s="92" t="str">
        <x:v>있음</x:v>
      </x:c>
      <x:c r="J72" s="92" t="str">
        <x:v>심화 문제 → 퀴즈</x:v>
      </x:c>
      <x:c r="K72" s="92" t="str">
        <x:v>퀴즈 67% · 영상 강의 100% · 심화 문제 80%</x:v>
      </x:c>
      <x:c r="L72" s="80" t="n">
        <x:v>17.8</x:v>
      </x:c>
      <x:c r="M72" s="80" t="str">
        <x:v>content-03</x:v>
      </x:c>
      <x:c r="N72" s="96" t="str">
        <x:v>현재완료 예문 읽기</x:v>
      </x:c>
      <x:c r="O72" s="96" t="str">
        <x:v>예문 읽기</x:v>
      </x:c>
      <x:c r="P72" s="96" t="n">
        <x:v>2</x:v>
      </x:c>
      <x:c r="Q72" s="96" t="n">
        <x:v>12</x:v>
      </x:c>
      <x:c r="R72" s="92" t="str">
        <x:v>현재완료 문맥 속 쓰임을 구별</x:v>
      </x:c>
      <x:c r="S72" s="92" t="str">
        <x:v>시제 · 문법</x:v>
      </x:c>
      <x:c r="T72" s="97" t="str">
        <x:v>직접 일치</x:v>
      </x:c>
      <x:c r="U72" s="86" t="n">
        <x:v>35</x:v>
      </x:c>
      <x:c r="V72" s="86" t="str">
        <x:v>N/A</x:v>
      </x:c>
      <x:c r="W72" s="86"/>
      <x:c r="X72" s="86" t="str">
        <x:v>매우 적합</x:v>
      </x:c>
      <x:c r="Y72" s="86" t="n">
        <x:v>20</x:v>
      </x:c>
      <x:c r="Z72" s="86" t="str">
        <x:v>정확히 일치</x:v>
      </x:c>
      <x:c r="AA72" s="86" t="n">
        <x:v>20</x:v>
      </x:c>
      <x:c r="AB72" s="86" t="n">
        <x:f>35+IF(W72="",0,25)+IF(Y72="",0,20)+20</x:f>
        <x:v>75</x:v>
      </x:c>
      <x:c r="AC72" s="104" t="n">
        <x:f>ROUND((U72+IF(W72="",0,W72)+IF(Y72="",0,Y72)+AA72)/AB72*100,1)</x:f>
        <x:v>100</x:v>
      </x:c>
      <x:c r="AD72" s="86" t="str">
        <x:f>IF(AC72&gt;=80,"high",IF(AC72&gt;=50,"medium","low"))</x:f>
        <x:v>high</x:v>
      </x:c>
      <x:c r="AE72" s="89" t="str">
        <x:v>medium</x:v>
      </x:c>
      <x:c r="AF72" s="101" t="str">
        <x:v>high → medium 정성 조정</x:v>
      </x:c>
      <x:c r="AG72" s="101" t="str">
        <x:v>목표: 시제 목표가 콘텐츠 학습 목표와 직접 일치 (35/35); 유형: 해당 유형 관찰 이력이 없어 비선호로 추측하지 않고 제외; 시간: 12분이 평균 17.8분 이내 (20/20); 수준: 사용자 레벨 2과 난이도 2가 일치 (20/20). 적용 항목 재환산 100점으로 판단했으며 최종 라벨은 medium.</x:v>
      </x:c>
      <x:c r="AH72" s="101" t="str">
        <x:v>우선 검토</x:v>
      </x:c>
      <x:c r="AI72" s="101" t="str">
        <x:v>Codex 초안</x:v>
      </x:c>
      <x:c r="AJ72" s="101" t="str"/>
    </x:row>
    <x:row r="73" ht="52" customHeight="1">
      <x:c r="A73" s="80" t="str">
        <x:v>user-07__content-04</x:v>
      </x:c>
      <x:c r="B73" s="80" t="str">
        <x:v>user-07</x:v>
      </x:c>
      <x:c r="C73" s="80" t="str">
        <x:v>최근 하락형</x:v>
      </x:c>
      <x:c r="D73" s="80" t="str">
        <x:v>기존 · 최근 5회 성적 급락</x:v>
      </x:c>
      <x:c r="E73" s="80" t="str">
        <x:v>기존</x:v>
      </x:c>
      <x:c r="F73" s="80" t="n">
        <x:v>2</x:v>
      </x:c>
      <x:c r="G73" s="92" t="str">
        <x:v>가정법과 시제 실수 회복</x:v>
      </x:c>
      <x:c r="H73" s="92" t="str">
        <x:v>가정법 · 시제 · 문법</x:v>
      </x:c>
      <x:c r="I73" s="92" t="str">
        <x:v>있음</x:v>
      </x:c>
      <x:c r="J73" s="92" t="str">
        <x:v>심화 문제 → 퀴즈</x:v>
      </x:c>
      <x:c r="K73" s="92" t="str">
        <x:v>퀴즈 67% · 영상 강의 100% · 심화 문제 80%</x:v>
      </x:c>
      <x:c r="L73" s="80" t="n">
        <x:v>17.8</x:v>
      </x:c>
      <x:c r="M73" s="80" t="str">
        <x:v>content-04</x:v>
      </x:c>
      <x:c r="N73" s="96" t="str">
        <x:v>현재완료 심화 문제</x:v>
      </x:c>
      <x:c r="O73" s="96" t="str">
        <x:v>심화 문제</x:v>
      </x:c>
      <x:c r="P73" s="96" t="n">
        <x:v>3</x:v>
      </x:c>
      <x:c r="Q73" s="96" t="n">
        <x:v>22</x:v>
      </x:c>
      <x:c r="R73" s="92" t="str">
        <x:v>현재완료 복합 문장에서 정확히 적용</x:v>
      </x:c>
      <x:c r="S73" s="92" t="str">
        <x:v>시제 · 문법</x:v>
      </x:c>
      <x:c r="T73" s="97" t="str">
        <x:v>직접 일치</x:v>
      </x:c>
      <x:c r="U73" s="86" t="n">
        <x:v>35</x:v>
      </x:c>
      <x:c r="V73" s="86" t="str">
        <x:v>매우 적합</x:v>
      </x:c>
      <x:c r="W73" s="86" t="n">
        <x:v>25</x:v>
      </x:c>
      <x:c r="X73" s="86" t="str">
        <x:v>적합</x:v>
      </x:c>
      <x:c r="Y73" s="86" t="n">
        <x:v>16</x:v>
      </x:c>
      <x:c r="Z73" s="86" t="str">
        <x:v>허용 범위</x:v>
      </x:c>
      <x:c r="AA73" s="86" t="n">
        <x:v>14</x:v>
      </x:c>
      <x:c r="AB73" s="86" t="n">
        <x:f>35+IF(W73="",0,25)+IF(Y73="",0,20)+20</x:f>
        <x:v>100</x:v>
      </x:c>
      <x:c r="AC73" s="104" t="n">
        <x:f>ROUND((U73+IF(W73="",0,W73)+IF(Y73="",0,Y73)+AA73)/AB73*100,1)</x:f>
        <x:v>90</x:v>
      </x:c>
      <x:c r="AD73" s="86" t="str">
        <x:f>IF(AC73&gt;=80,"high",IF(AC73&gt;=50,"medium","low"))</x:f>
        <x:v>high</x:v>
      </x:c>
      <x:c r="AE73" s="89" t="str">
        <x:v>high</x:v>
      </x:c>
      <x:c r="AF73" s="101" t="str">
        <x:v>루브릭 일치</x:v>
      </x:c>
      <x:c r="AG73" s="101" t="str">
        <x:v>목표: 시제 목표가 콘텐츠 학습 목표와 직접 일치 (35/35); 유형: 1순위 선호이며 완료율 80% (25/25); 시간: 22분이 평균 학습 시간의 1.25배 이내 (16/20); 수준: 사용자 레벨과 난이도 차이가 1단계 (14/20). 적용 항목 재환산 90점으로 판단했으며 최종 라벨은 high.</x:v>
      </x:c>
      <x:c r="AH73" s="101" t="str">
        <x:v>일반</x:v>
      </x:c>
      <x:c r="AI73" s="101" t="str">
        <x:v>Codex 초안</x:v>
      </x:c>
      <x:c r="AJ73" s="101" t="str"/>
    </x:row>
    <x:row r="74" ht="52" customHeight="1">
      <x:c r="A74" s="80" t="str">
        <x:v>user-07__content-05</x:v>
      </x:c>
      <x:c r="B74" s="80" t="str">
        <x:v>user-07</x:v>
      </x:c>
      <x:c r="C74" s="80" t="str">
        <x:v>최근 하락형</x:v>
      </x:c>
      <x:c r="D74" s="80" t="str">
        <x:v>기존 · 최근 5회 성적 급락</x:v>
      </x:c>
      <x:c r="E74" s="80" t="str">
        <x:v>기존</x:v>
      </x:c>
      <x:c r="F74" s="80" t="n">
        <x:v>2</x:v>
      </x:c>
      <x:c r="G74" s="92" t="str">
        <x:v>가정법과 시제 실수 회복</x:v>
      </x:c>
      <x:c r="H74" s="92" t="str">
        <x:v>가정법 · 시제 · 문법</x:v>
      </x:c>
      <x:c r="I74" s="92" t="str">
        <x:v>있음</x:v>
      </x:c>
      <x:c r="J74" s="92" t="str">
        <x:v>심화 문제 → 퀴즈</x:v>
      </x:c>
      <x:c r="K74" s="92" t="str">
        <x:v>퀴즈 67% · 영상 강의 100% · 심화 문제 80%</x:v>
      </x:c>
      <x:c r="L74" s="80" t="n">
        <x:v>17.8</x:v>
      </x:c>
      <x:c r="M74" s="80" t="str">
        <x:v>content-05</x:v>
      </x:c>
      <x:c r="N74" s="96" t="str">
        <x:v>현재완료 오답 교정</x:v>
      </x:c>
      <x:c r="O74" s="96" t="str">
        <x:v>퀴즈</x:v>
      </x:c>
      <x:c r="P74" s="96" t="n">
        <x:v>2</x:v>
      </x:c>
      <x:c r="Q74" s="96" t="n">
        <x:v>9</x:v>
      </x:c>
      <x:c r="R74" s="92" t="str">
        <x:v>현재완료 자주 틀리는 유형을 교정</x:v>
      </x:c>
      <x:c r="S74" s="92" t="str">
        <x:v>시제 · 문법</x:v>
      </x:c>
      <x:c r="T74" s="97" t="str">
        <x:v>직접 일치</x:v>
      </x:c>
      <x:c r="U74" s="86" t="n">
        <x:v>35</x:v>
      </x:c>
      <x:c r="V74" s="86" t="str">
        <x:v>적합</x:v>
      </x:c>
      <x:c r="W74" s="86" t="n">
        <x:v>22</x:v>
      </x:c>
      <x:c r="X74" s="86" t="str">
        <x:v>매우 적합</x:v>
      </x:c>
      <x:c r="Y74" s="86" t="n">
        <x:v>20</x:v>
      </x:c>
      <x:c r="Z74" s="86" t="str">
        <x:v>정확히 일치</x:v>
      </x:c>
      <x:c r="AA74" s="86" t="n">
        <x:v>20</x:v>
      </x:c>
      <x:c r="AB74" s="86" t="n">
        <x:f>35+IF(W74="",0,25)+IF(Y74="",0,20)+20</x:f>
        <x:v>100</x:v>
      </x:c>
      <x:c r="AC74" s="104" t="n">
        <x:f>ROUND((U74+IF(W74="",0,W74)+IF(Y74="",0,Y74)+AA74)/AB74*100,1)</x:f>
        <x:v>97</x:v>
      </x:c>
      <x:c r="AD74" s="86" t="str">
        <x:f>IF(AC74&gt;=80,"high",IF(AC74&gt;=50,"medium","low"))</x:f>
        <x:v>high</x:v>
      </x:c>
      <x:c r="AE74" s="89" t="str">
        <x:v>high</x:v>
      </x:c>
      <x:c r="AF74" s="101" t="str">
        <x:v>루브릭 일치</x:v>
      </x:c>
      <x:c r="AG74" s="101" t="str">
        <x:v>목표: 시제 목표가 콘텐츠 학습 목표와 직접 일치 (35/35); 유형: 2순위 선호 유형 (22/25); 시간: 9분이 평균 17.8분 이내 (20/20); 수준: 사용자 레벨 2과 난이도 2가 일치 (20/20). 적용 항목 재환산 97점으로 판단했으며 최종 라벨은 high.</x:v>
      </x:c>
      <x:c r="AH74" s="101" t="str">
        <x:v>일반</x:v>
      </x:c>
      <x:c r="AI74" s="101" t="str">
        <x:v>Codex 초안</x:v>
      </x:c>
      <x:c r="AJ74" s="101" t="str"/>
    </x:row>
    <x:row r="75" ht="52" customHeight="1">
      <x:c r="A75" s="80" t="str">
        <x:v>user-08__content-11</x:v>
      </x:c>
      <x:c r="B75" s="80" t="str">
        <x:v>user-08</x:v>
      </x:c>
      <x:c r="C75" s="80" t="str">
        <x:v>희소 이력형</x:v>
      </x:c>
      <x:c r="D75" s="80" t="str">
        <x:v>기존 · 낮은 신뢰도의 희소 이력</x:v>
      </x:c>
      <x:c r="E75" s="80" t="str">
        <x:v>기존</x:v>
      </x:c>
      <x:c r="F75" s="80" t="n">
        <x:v>1</x:v>
      </x:c>
      <x:c r="G75" s="92" t="str">
        <x:v>기초 문법 학습 습관 만들기</x:v>
      </x:c>
      <x:c r="H75" s="92" t="str">
        <x:v>문법 · 시제 · 조동사</x:v>
      </x:c>
      <x:c r="I75" s="92" t="str">
        <x:v>있음</x:v>
      </x:c>
      <x:c r="J75" s="92" t="str">
        <x:v>퀴즈 → 예문 읽기</x:v>
      </x:c>
      <x:c r="K75" s="92" t="str">
        <x:v>퀴즈 80% · 예문 읽기 100%</x:v>
      </x:c>
      <x:c r="L75" s="80" t="n">
        <x:v>8.4</x:v>
      </x:c>
      <x:c r="M75" s="80" t="str">
        <x:v>content-11</x:v>
      </x:c>
      <x:c r="N75" s="96" t="str">
        <x:v>조동사 핵심 퀴즈</x:v>
      </x:c>
      <x:c r="O75" s="96" t="str">
        <x:v>퀴즈</x:v>
      </x:c>
      <x:c r="P75" s="96" t="n">
        <x:v>1</x:v>
      </x:c>
      <x:c r="Q75" s="96" t="n">
        <x:v>6</x:v>
      </x:c>
      <x:c r="R75" s="92" t="str">
        <x:v>조동사 핵심 규칙을 빠르게 확인</x:v>
      </x:c>
      <x:c r="S75" s="92" t="str">
        <x:v>조동사 · 문법</x:v>
      </x:c>
      <x:c r="T75" s="97" t="str">
        <x:v>직접 일치</x:v>
      </x:c>
      <x:c r="U75" s="86" t="n">
        <x:v>35</x:v>
      </x:c>
      <x:c r="V75" s="86" t="str">
        <x:v>매우 적합</x:v>
      </x:c>
      <x:c r="W75" s="86" t="n">
        <x:v>25</x:v>
      </x:c>
      <x:c r="X75" s="86" t="str">
        <x:v>매우 적합</x:v>
      </x:c>
      <x:c r="Y75" s="86" t="n">
        <x:v>20</x:v>
      </x:c>
      <x:c r="Z75" s="86" t="str">
        <x:v>정확히 일치</x:v>
      </x:c>
      <x:c r="AA75" s="86" t="n">
        <x:v>20</x:v>
      </x:c>
      <x:c r="AB75" s="86" t="n">
        <x:f>35+IF(W75="",0,25)+IF(Y75="",0,20)+20</x:f>
        <x:v>100</x:v>
      </x:c>
      <x:c r="AC75" s="104" t="n">
        <x:f>ROUND((U75+IF(W75="",0,W75)+IF(Y75="",0,Y75)+AA75)/AB75*100,1)</x:f>
        <x:v>100</x:v>
      </x:c>
      <x:c r="AD75" s="86" t="str">
        <x:f>IF(AC75&gt;=80,"high",IF(AC75&gt;=50,"medium","low"))</x:f>
        <x:v>high</x:v>
      </x:c>
      <x:c r="AE75" s="89" t="str">
        <x:v>high</x:v>
      </x:c>
      <x:c r="AF75" s="101" t="str">
        <x:v>루브릭 일치</x:v>
      </x:c>
      <x:c r="AG75" s="101" t="str">
        <x:v>목표: 조동사 목표가 콘텐츠 학습 목표와 직접 일치 (35/35); 유형: 1순위 선호이며 완료율 80% (25/25); 시간: 6분이 평균 8.4분 이내 (20/20); 수준: 사용자 레벨 1과 난이도 1가 일치 (20/20). 적용 항목 재환산 100점으로 판단했으며 최종 라벨은 high.</x:v>
      </x:c>
      <x:c r="AH75" s="101" t="str">
        <x:v>우선 검토</x:v>
      </x:c>
      <x:c r="AI75" s="101" t="str">
        <x:v>Codex 초안</x:v>
      </x:c>
      <x:c r="AJ75" s="101" t="str"/>
    </x:row>
    <x:row r="76" ht="52" customHeight="1">
      <x:c r="A76" s="80" t="str">
        <x:v>user-08__content-12</x:v>
      </x:c>
      <x:c r="B76" s="80" t="str">
        <x:v>user-08</x:v>
      </x:c>
      <x:c r="C76" s="80" t="str">
        <x:v>희소 이력형</x:v>
      </x:c>
      <x:c r="D76" s="80" t="str">
        <x:v>기존 · 낮은 신뢰도의 희소 이력</x:v>
      </x:c>
      <x:c r="E76" s="80" t="str">
        <x:v>기존</x:v>
      </x:c>
      <x:c r="F76" s="80" t="n">
        <x:v>1</x:v>
      </x:c>
      <x:c r="G76" s="92" t="str">
        <x:v>기초 문법 학습 습관 만들기</x:v>
      </x:c>
      <x:c r="H76" s="92" t="str">
        <x:v>문법 · 시제 · 조동사</x:v>
      </x:c>
      <x:c r="I76" s="92" t="str">
        <x:v>있음</x:v>
      </x:c>
      <x:c r="J76" s="92" t="str">
        <x:v>퀴즈 → 예문 읽기</x:v>
      </x:c>
      <x:c r="K76" s="92" t="str">
        <x:v>퀴즈 80% · 예문 읽기 100%</x:v>
      </x:c>
      <x:c r="L76" s="80" t="n">
        <x:v>8.4</x:v>
      </x:c>
      <x:c r="M76" s="80" t="str">
        <x:v>content-12</x:v>
      </x:c>
      <x:c r="N76" s="96" t="str">
        <x:v>조동사 개념 강의</x:v>
      </x:c>
      <x:c r="O76" s="96" t="str">
        <x:v>영상 강의</x:v>
      </x:c>
      <x:c r="P76" s="96" t="n">
        <x:v>2</x:v>
      </x:c>
      <x:c r="Q76" s="96" t="n">
        <x:v>18</x:v>
      </x:c>
      <x:c r="R76" s="92" t="str">
        <x:v>조동사 대표 쓰임과 오류를 이해</x:v>
      </x:c>
      <x:c r="S76" s="92" t="str">
        <x:v>조동사 · 문법</x:v>
      </x:c>
      <x:c r="T76" s="97" t="str">
        <x:v>직접 일치</x:v>
      </x:c>
      <x:c r="U76" s="86" t="n">
        <x:v>35</x:v>
      </x:c>
      <x:c r="V76" s="86" t="str">
        <x:v>N/A</x:v>
      </x:c>
      <x:c r="W76" s="86"/>
      <x:c r="X76" s="86" t="str">
        <x:v>부담</x:v>
      </x:c>
      <x:c r="Y76" s="86" t="n">
        <x:v>4</x:v>
      </x:c>
      <x:c r="Z76" s="86" t="str">
        <x:v>허용 범위</x:v>
      </x:c>
      <x:c r="AA76" s="86" t="n">
        <x:v>14</x:v>
      </x:c>
      <x:c r="AB76" s="86" t="n">
        <x:f>35+IF(W76="",0,25)+IF(Y76="",0,20)+20</x:f>
        <x:v>75</x:v>
      </x:c>
      <x:c r="AC76" s="104" t="n">
        <x:f>ROUND((U76+IF(W76="",0,W76)+IF(Y76="",0,Y76)+AA76)/AB76*100,1)</x:f>
        <x:v>70.7</x:v>
      </x:c>
      <x:c r="AD76" s="86" t="str">
        <x:f>IF(AC76&gt;=80,"high",IF(AC76&gt;=50,"medium","low"))</x:f>
        <x:v>medium</x:v>
      </x:c>
      <x:c r="AE76" s="89" t="str">
        <x:v>medium</x:v>
      </x:c>
      <x:c r="AF76" s="101" t="str">
        <x:v>루브릭 일치</x:v>
      </x:c>
      <x:c r="AG76" s="101" t="str">
        <x:v>목표: 조동사 목표가 콘텐츠 학습 목표와 직접 일치 (35/35); 유형: 해당 유형 관찰 이력이 없어 비선호로 추측하지 않고 제외; 시간: 18분이 평균 8.4분의 1.5배를 초과 (4/20); 수준: 사용자 레벨과 난이도 차이가 1단계 (14/20). 적용 항목 재환산 70.7점으로 판단했으며 최종 라벨은 medium.</x:v>
      </x:c>
      <x:c r="AH76" s="101" t="str">
        <x:v>우선 검토</x:v>
      </x:c>
      <x:c r="AI76" s="101" t="str">
        <x:v>Codex 초안</x:v>
      </x:c>
      <x:c r="AJ76" s="101" t="str"/>
    </x:row>
    <x:row r="77" ht="52" customHeight="1">
      <x:c r="A77" s="80" t="str">
        <x:v>user-08__content-13</x:v>
      </x:c>
      <x:c r="B77" s="80" t="str">
        <x:v>user-08</x:v>
      </x:c>
      <x:c r="C77" s="80" t="str">
        <x:v>희소 이력형</x:v>
      </x:c>
      <x:c r="D77" s="80" t="str">
        <x:v>기존 · 낮은 신뢰도의 희소 이력</x:v>
      </x:c>
      <x:c r="E77" s="80" t="str">
        <x:v>기존</x:v>
      </x:c>
      <x:c r="F77" s="80" t="n">
        <x:v>1</x:v>
      </x:c>
      <x:c r="G77" s="92" t="str">
        <x:v>기초 문법 학습 습관 만들기</x:v>
      </x:c>
      <x:c r="H77" s="92" t="str">
        <x:v>문법 · 시제 · 조동사</x:v>
      </x:c>
      <x:c r="I77" s="92" t="str">
        <x:v>있음</x:v>
      </x:c>
      <x:c r="J77" s="92" t="str">
        <x:v>퀴즈 → 예문 읽기</x:v>
      </x:c>
      <x:c r="K77" s="92" t="str">
        <x:v>퀴즈 80% · 예문 읽기 100%</x:v>
      </x:c>
      <x:c r="L77" s="80" t="n">
        <x:v>8.4</x:v>
      </x:c>
      <x:c r="M77" s="80" t="str">
        <x:v>content-13</x:v>
      </x:c>
      <x:c r="N77" s="96" t="str">
        <x:v>조동사 예문 읽기</x:v>
      </x:c>
      <x:c r="O77" s="96" t="str">
        <x:v>예문 읽기</x:v>
      </x:c>
      <x:c r="P77" s="96" t="n">
        <x:v>2</x:v>
      </x:c>
      <x:c r="Q77" s="96" t="n">
        <x:v>12</x:v>
      </x:c>
      <x:c r="R77" s="92" t="str">
        <x:v>조동사 문맥 속 쓰임을 구별</x:v>
      </x:c>
      <x:c r="S77" s="92" t="str">
        <x:v>조동사 · 문법</x:v>
      </x:c>
      <x:c r="T77" s="97" t="str">
        <x:v>직접 일치</x:v>
      </x:c>
      <x:c r="U77" s="86" t="n">
        <x:v>35</x:v>
      </x:c>
      <x:c r="V77" s="86" t="str">
        <x:v>적합</x:v>
      </x:c>
      <x:c r="W77" s="86" t="n">
        <x:v>22</x:v>
      </x:c>
      <x:c r="X77" s="86" t="str">
        <x:v>보통</x:v>
      </x:c>
      <x:c r="Y77" s="86" t="n">
        <x:v>10</x:v>
      </x:c>
      <x:c r="Z77" s="86" t="str">
        <x:v>허용 범위</x:v>
      </x:c>
      <x:c r="AA77" s="86" t="n">
        <x:v>14</x:v>
      </x:c>
      <x:c r="AB77" s="86" t="n">
        <x:f>35+IF(W77="",0,25)+IF(Y77="",0,20)+20</x:f>
        <x:v>100</x:v>
      </x:c>
      <x:c r="AC77" s="104" t="n">
        <x:f>ROUND((U77+IF(W77="",0,W77)+IF(Y77="",0,Y77)+AA77)/AB77*100,1)</x:f>
        <x:v>81</x:v>
      </x:c>
      <x:c r="AD77" s="86" t="str">
        <x:f>IF(AC77&gt;=80,"high",IF(AC77&gt;=50,"medium","low"))</x:f>
        <x:v>high</x:v>
      </x:c>
      <x:c r="AE77" s="89" t="str">
        <x:v>high</x:v>
      </x:c>
      <x:c r="AF77" s="101" t="str">
        <x:v>루브릭 일치</x:v>
      </x:c>
      <x:c r="AG77" s="101" t="str">
        <x:v>목표: 조동사 목표가 콘텐츠 학습 목표와 직접 일치 (35/35); 유형: 2순위 선호 유형 (22/25); 시간: 12분이 평균 학습 시간의 1.5배 이내 (10/20); 수준: 사용자 레벨과 난이도 차이가 1단계 (14/20). 적용 항목 재환산 81점으로 판단했으며 최종 라벨은 high.</x:v>
      </x:c>
      <x:c r="AH77" s="101" t="str">
        <x:v>우선 검토</x:v>
      </x:c>
      <x:c r="AI77" s="101" t="str">
        <x:v>Codex 초안</x:v>
      </x:c>
      <x:c r="AJ77" s="101" t="str"/>
    </x:row>
    <x:row r="78" ht="52" customHeight="1">
      <x:c r="A78" s="80" t="str">
        <x:v>user-08__content-15</x:v>
      </x:c>
      <x:c r="B78" s="80" t="str">
        <x:v>user-08</x:v>
      </x:c>
      <x:c r="C78" s="80" t="str">
        <x:v>희소 이력형</x:v>
      </x:c>
      <x:c r="D78" s="80" t="str">
        <x:v>기존 · 낮은 신뢰도의 희소 이력</x:v>
      </x:c>
      <x:c r="E78" s="80" t="str">
        <x:v>기존</x:v>
      </x:c>
      <x:c r="F78" s="80" t="n">
        <x:v>1</x:v>
      </x:c>
      <x:c r="G78" s="92" t="str">
        <x:v>기초 문법 학습 습관 만들기</x:v>
      </x:c>
      <x:c r="H78" s="92" t="str">
        <x:v>문법 · 시제 · 조동사</x:v>
      </x:c>
      <x:c r="I78" s="92" t="str">
        <x:v>있음</x:v>
      </x:c>
      <x:c r="J78" s="92" t="str">
        <x:v>퀴즈 → 예문 읽기</x:v>
      </x:c>
      <x:c r="K78" s="92" t="str">
        <x:v>퀴즈 80% · 예문 읽기 100%</x:v>
      </x:c>
      <x:c r="L78" s="80" t="n">
        <x:v>8.4</x:v>
      </x:c>
      <x:c r="M78" s="80" t="str">
        <x:v>content-15</x:v>
      </x:c>
      <x:c r="N78" s="96" t="str">
        <x:v>조동사 오답 교정</x:v>
      </x:c>
      <x:c r="O78" s="96" t="str">
        <x:v>퀴즈</x:v>
      </x:c>
      <x:c r="P78" s="96" t="n">
        <x:v>2</x:v>
      </x:c>
      <x:c r="Q78" s="96" t="n">
        <x:v>9</x:v>
      </x:c>
      <x:c r="R78" s="92" t="str">
        <x:v>조동사 자주 틀리는 유형을 교정</x:v>
      </x:c>
      <x:c r="S78" s="92" t="str">
        <x:v>조동사 · 문법</x:v>
      </x:c>
      <x:c r="T78" s="97" t="str">
        <x:v>직접 일치</x:v>
      </x:c>
      <x:c r="U78" s="86" t="n">
        <x:v>35</x:v>
      </x:c>
      <x:c r="V78" s="86" t="str">
        <x:v>매우 적합</x:v>
      </x:c>
      <x:c r="W78" s="86" t="n">
        <x:v>25</x:v>
      </x:c>
      <x:c r="X78" s="86" t="str">
        <x:v>적합</x:v>
      </x:c>
      <x:c r="Y78" s="86" t="n">
        <x:v>16</x:v>
      </x:c>
      <x:c r="Z78" s="86" t="str">
        <x:v>허용 범위</x:v>
      </x:c>
      <x:c r="AA78" s="86" t="n">
        <x:v>14</x:v>
      </x:c>
      <x:c r="AB78" s="86" t="n">
        <x:f>35+IF(W78="",0,25)+IF(Y78="",0,20)+20</x:f>
        <x:v>100</x:v>
      </x:c>
      <x:c r="AC78" s="104" t="n">
        <x:f>ROUND((U78+IF(W78="",0,W78)+IF(Y78="",0,Y78)+AA78)/AB78*100,1)</x:f>
        <x:v>90</x:v>
      </x:c>
      <x:c r="AD78" s="86" t="str">
        <x:f>IF(AC78&gt;=80,"high",IF(AC78&gt;=50,"medium","low"))</x:f>
        <x:v>high</x:v>
      </x:c>
      <x:c r="AE78" s="89" t="str">
        <x:v>high</x:v>
      </x:c>
      <x:c r="AF78" s="101" t="str">
        <x:v>루브릭 일치</x:v>
      </x:c>
      <x:c r="AG78" s="101" t="str">
        <x:v>목표: 조동사 목표가 콘텐츠 학습 목표와 직접 일치 (35/35); 유형: 1순위 선호이며 완료율 80% (25/25); 시간: 9분이 평균 학습 시간의 1.25배 이내 (16/20); 수준: 사용자 레벨과 난이도 차이가 1단계 (14/20). 적용 항목 재환산 90점으로 판단했으며 최종 라벨은 high.</x:v>
      </x:c>
      <x:c r="AH78" s="101" t="str">
        <x:v>우선 검토</x:v>
      </x:c>
      <x:c r="AI78" s="101" t="str">
        <x:v>Codex 초안</x:v>
      </x:c>
      <x:c r="AJ78" s="101" t="str"/>
    </x:row>
    <x:row r="79" ht="52" customHeight="1">
      <x:c r="A79" s="80" t="str">
        <x:v>user-08__content-01</x:v>
      </x:c>
      <x:c r="B79" s="80" t="str">
        <x:v>user-08</x:v>
      </x:c>
      <x:c r="C79" s="80" t="str">
        <x:v>희소 이력형</x:v>
      </x:c>
      <x:c r="D79" s="80" t="str">
        <x:v>기존 · 낮은 신뢰도의 희소 이력</x:v>
      </x:c>
      <x:c r="E79" s="80" t="str">
        <x:v>기존</x:v>
      </x:c>
      <x:c r="F79" s="80" t="n">
        <x:v>1</x:v>
      </x:c>
      <x:c r="G79" s="92" t="str">
        <x:v>기초 문법 학습 습관 만들기</x:v>
      </x:c>
      <x:c r="H79" s="92" t="str">
        <x:v>문법 · 시제 · 조동사</x:v>
      </x:c>
      <x:c r="I79" s="92" t="str">
        <x:v>있음</x:v>
      </x:c>
      <x:c r="J79" s="92" t="str">
        <x:v>퀴즈 → 예문 읽기</x:v>
      </x:c>
      <x:c r="K79" s="92" t="str">
        <x:v>퀴즈 80% · 예문 읽기 100%</x:v>
      </x:c>
      <x:c r="L79" s="80" t="n">
        <x:v>8.4</x:v>
      </x:c>
      <x:c r="M79" s="80" t="str">
        <x:v>content-01</x:v>
      </x:c>
      <x:c r="N79" s="96" t="str">
        <x:v>현재완료 핵심 퀴즈</x:v>
      </x:c>
      <x:c r="O79" s="96" t="str">
        <x:v>퀴즈</x:v>
      </x:c>
      <x:c r="P79" s="96" t="n">
        <x:v>1</x:v>
      </x:c>
      <x:c r="Q79" s="96" t="n">
        <x:v>6</x:v>
      </x:c>
      <x:c r="R79" s="92" t="str">
        <x:v>현재완료 핵심 규칙을 빠르게 확인</x:v>
      </x:c>
      <x:c r="S79" s="92" t="str">
        <x:v>시제 · 문법</x:v>
      </x:c>
      <x:c r="T79" s="97" t="str">
        <x:v>직접 일치</x:v>
      </x:c>
      <x:c r="U79" s="86" t="n">
        <x:v>35</x:v>
      </x:c>
      <x:c r="V79" s="86" t="str">
        <x:v>매우 적합</x:v>
      </x:c>
      <x:c r="W79" s="86" t="n">
        <x:v>25</x:v>
      </x:c>
      <x:c r="X79" s="86" t="str">
        <x:v>매우 적합</x:v>
      </x:c>
      <x:c r="Y79" s="86" t="n">
        <x:v>20</x:v>
      </x:c>
      <x:c r="Z79" s="86" t="str">
        <x:v>정확히 일치</x:v>
      </x:c>
      <x:c r="AA79" s="86" t="n">
        <x:v>20</x:v>
      </x:c>
      <x:c r="AB79" s="86" t="n">
        <x:f>35+IF(W79="",0,25)+IF(Y79="",0,20)+20</x:f>
        <x:v>100</x:v>
      </x:c>
      <x:c r="AC79" s="104" t="n">
        <x:f>ROUND((U79+IF(W79="",0,W79)+IF(Y79="",0,Y79)+AA79)/AB79*100,1)</x:f>
        <x:v>100</x:v>
      </x:c>
      <x:c r="AD79" s="86" t="str">
        <x:f>IF(AC79&gt;=80,"high",IF(AC79&gt;=50,"medium","low"))</x:f>
        <x:v>high</x:v>
      </x:c>
      <x:c r="AE79" s="89" t="str">
        <x:v>high</x:v>
      </x:c>
      <x:c r="AF79" s="101" t="str">
        <x:v>루브릭 일치</x:v>
      </x:c>
      <x:c r="AG79" s="101" t="str">
        <x:v>목표: 시제 목표가 콘텐츠 학습 목표와 직접 일치 (35/35); 유형: 1순위 선호이며 완료율 80% (25/25); 시간: 6분이 평균 8.4분 이내 (20/20); 수준: 사용자 레벨 1과 난이도 1가 일치 (20/20). 적용 항목 재환산 100점으로 판단했으며 최종 라벨은 high.</x:v>
      </x:c>
      <x:c r="AH79" s="101" t="str">
        <x:v>우선 검토</x:v>
      </x:c>
      <x:c r="AI79" s="101" t="str">
        <x:v>Codex 초안</x:v>
      </x:c>
      <x:c r="AJ79" s="101" t="str"/>
    </x:row>
    <x:row r="80" ht="52" customHeight="1">
      <x:c r="A80" s="80" t="str">
        <x:v>user-08__content-02</x:v>
      </x:c>
      <x:c r="B80" s="80" t="str">
        <x:v>user-08</x:v>
      </x:c>
      <x:c r="C80" s="80" t="str">
        <x:v>희소 이력형</x:v>
      </x:c>
      <x:c r="D80" s="80" t="str">
        <x:v>기존 · 낮은 신뢰도의 희소 이력</x:v>
      </x:c>
      <x:c r="E80" s="80" t="str">
        <x:v>기존</x:v>
      </x:c>
      <x:c r="F80" s="80" t="n">
        <x:v>1</x:v>
      </x:c>
      <x:c r="G80" s="92" t="str">
        <x:v>기초 문법 학습 습관 만들기</x:v>
      </x:c>
      <x:c r="H80" s="92" t="str">
        <x:v>문법 · 시제 · 조동사</x:v>
      </x:c>
      <x:c r="I80" s="92" t="str">
        <x:v>있음</x:v>
      </x:c>
      <x:c r="J80" s="92" t="str">
        <x:v>퀴즈 → 예문 읽기</x:v>
      </x:c>
      <x:c r="K80" s="92" t="str">
        <x:v>퀴즈 80% · 예문 읽기 100%</x:v>
      </x:c>
      <x:c r="L80" s="80" t="n">
        <x:v>8.4</x:v>
      </x:c>
      <x:c r="M80" s="80" t="str">
        <x:v>content-02</x:v>
      </x:c>
      <x:c r="N80" s="96" t="str">
        <x:v>현재완료 개념 강의</x:v>
      </x:c>
      <x:c r="O80" s="96" t="str">
        <x:v>영상 강의</x:v>
      </x:c>
      <x:c r="P80" s="96" t="n">
        <x:v>2</x:v>
      </x:c>
      <x:c r="Q80" s="96" t="n">
        <x:v>18</x:v>
      </x:c>
      <x:c r="R80" s="92" t="str">
        <x:v>현재완료 대표 쓰임과 오류를 이해</x:v>
      </x:c>
      <x:c r="S80" s="92" t="str">
        <x:v>시제 · 문법</x:v>
      </x:c>
      <x:c r="T80" s="97" t="str">
        <x:v>직접 일치</x:v>
      </x:c>
      <x:c r="U80" s="86" t="n">
        <x:v>35</x:v>
      </x:c>
      <x:c r="V80" s="86" t="str">
        <x:v>N/A</x:v>
      </x:c>
      <x:c r="W80" s="86"/>
      <x:c r="X80" s="86" t="str">
        <x:v>부담</x:v>
      </x:c>
      <x:c r="Y80" s="86" t="n">
        <x:v>4</x:v>
      </x:c>
      <x:c r="Z80" s="86" t="str">
        <x:v>허용 범위</x:v>
      </x:c>
      <x:c r="AA80" s="86" t="n">
        <x:v>14</x:v>
      </x:c>
      <x:c r="AB80" s="86" t="n">
        <x:f>35+IF(W80="",0,25)+IF(Y80="",0,20)+20</x:f>
        <x:v>75</x:v>
      </x:c>
      <x:c r="AC80" s="104" t="n">
        <x:f>ROUND((U80+IF(W80="",0,W80)+IF(Y80="",0,Y80)+AA80)/AB80*100,1)</x:f>
        <x:v>70.7</x:v>
      </x:c>
      <x:c r="AD80" s="86" t="str">
        <x:f>IF(AC80&gt;=80,"high",IF(AC80&gt;=50,"medium","low"))</x:f>
        <x:v>medium</x:v>
      </x:c>
      <x:c r="AE80" s="89" t="str">
        <x:v>medium</x:v>
      </x:c>
      <x:c r="AF80" s="101" t="str">
        <x:v>루브릭 일치</x:v>
      </x:c>
      <x:c r="AG80" s="101" t="str">
        <x:v>목표: 시제 목표가 콘텐츠 학습 목표와 직접 일치 (35/35); 유형: 해당 유형 관찰 이력이 없어 비선호로 추측하지 않고 제외; 시간: 18분이 평균 8.4분의 1.5배를 초과 (4/20); 수준: 사용자 레벨과 난이도 차이가 1단계 (14/20). 적용 항목 재환산 70.7점으로 판단했으며 최종 라벨은 medium.</x:v>
      </x:c>
      <x:c r="AH80" s="101" t="str">
        <x:v>우선 검토</x:v>
      </x:c>
      <x:c r="AI80" s="101" t="str">
        <x:v>Codex 초안</x:v>
      </x:c>
      <x:c r="AJ80" s="101" t="str"/>
    </x:row>
    <x:row r="81" ht="52" customHeight="1">
      <x:c r="A81" s="80" t="str">
        <x:v>user-08__content-03</x:v>
      </x:c>
      <x:c r="B81" s="80" t="str">
        <x:v>user-08</x:v>
      </x:c>
      <x:c r="C81" s="80" t="str">
        <x:v>희소 이력형</x:v>
      </x:c>
      <x:c r="D81" s="80" t="str">
        <x:v>기존 · 낮은 신뢰도의 희소 이력</x:v>
      </x:c>
      <x:c r="E81" s="80" t="str">
        <x:v>기존</x:v>
      </x:c>
      <x:c r="F81" s="80" t="n">
        <x:v>1</x:v>
      </x:c>
      <x:c r="G81" s="92" t="str">
        <x:v>기초 문법 학습 습관 만들기</x:v>
      </x:c>
      <x:c r="H81" s="92" t="str">
        <x:v>문법 · 시제 · 조동사</x:v>
      </x:c>
      <x:c r="I81" s="92" t="str">
        <x:v>있음</x:v>
      </x:c>
      <x:c r="J81" s="92" t="str">
        <x:v>퀴즈 → 예문 읽기</x:v>
      </x:c>
      <x:c r="K81" s="92" t="str">
        <x:v>퀴즈 80% · 예문 읽기 100%</x:v>
      </x:c>
      <x:c r="L81" s="80" t="n">
        <x:v>8.4</x:v>
      </x:c>
      <x:c r="M81" s="80" t="str">
        <x:v>content-03</x:v>
      </x:c>
      <x:c r="N81" s="96" t="str">
        <x:v>현재완료 예문 읽기</x:v>
      </x:c>
      <x:c r="O81" s="96" t="str">
        <x:v>예문 읽기</x:v>
      </x:c>
      <x:c r="P81" s="96" t="n">
        <x:v>2</x:v>
      </x:c>
      <x:c r="Q81" s="96" t="n">
        <x:v>12</x:v>
      </x:c>
      <x:c r="R81" s="92" t="str">
        <x:v>현재완료 문맥 속 쓰임을 구별</x:v>
      </x:c>
      <x:c r="S81" s="92" t="str">
        <x:v>시제 · 문법</x:v>
      </x:c>
      <x:c r="T81" s="97" t="str">
        <x:v>직접 일치</x:v>
      </x:c>
      <x:c r="U81" s="86" t="n">
        <x:v>35</x:v>
      </x:c>
      <x:c r="V81" s="86" t="str">
        <x:v>적합</x:v>
      </x:c>
      <x:c r="W81" s="86" t="n">
        <x:v>22</x:v>
      </x:c>
      <x:c r="X81" s="86" t="str">
        <x:v>보통</x:v>
      </x:c>
      <x:c r="Y81" s="86" t="n">
        <x:v>10</x:v>
      </x:c>
      <x:c r="Z81" s="86" t="str">
        <x:v>허용 범위</x:v>
      </x:c>
      <x:c r="AA81" s="86" t="n">
        <x:v>14</x:v>
      </x:c>
      <x:c r="AB81" s="86" t="n">
        <x:f>35+IF(W81="",0,25)+IF(Y81="",0,20)+20</x:f>
        <x:v>100</x:v>
      </x:c>
      <x:c r="AC81" s="104" t="n">
        <x:f>ROUND((U81+IF(W81="",0,W81)+IF(Y81="",0,Y81)+AA81)/AB81*100,1)</x:f>
        <x:v>81</x:v>
      </x:c>
      <x:c r="AD81" s="86" t="str">
        <x:f>IF(AC81&gt;=80,"high",IF(AC81&gt;=50,"medium","low"))</x:f>
        <x:v>high</x:v>
      </x:c>
      <x:c r="AE81" s="89" t="str">
        <x:v>high</x:v>
      </x:c>
      <x:c r="AF81" s="101" t="str">
        <x:v>루브릭 일치</x:v>
      </x:c>
      <x:c r="AG81" s="101" t="str">
        <x:v>목표: 시제 목표가 콘텐츠 학습 목표와 직접 일치 (35/35); 유형: 2순위 선호 유형 (22/25); 시간: 12분이 평균 학습 시간의 1.5배 이내 (10/20); 수준: 사용자 레벨과 난이도 차이가 1단계 (14/20). 적용 항목 재환산 81점으로 판단했으며 최종 라벨은 high.</x:v>
      </x:c>
      <x:c r="AH81" s="101" t="str">
        <x:v>우선 검토</x:v>
      </x:c>
      <x:c r="AI81" s="101" t="str">
        <x:v>Codex 초안</x:v>
      </x:c>
      <x:c r="AJ81" s="101" t="str"/>
    </x:row>
    <x:row r="82" ht="52" customHeight="1">
      <x:c r="A82" s="80" t="str">
        <x:v>user-08__content-05</x:v>
      </x:c>
      <x:c r="B82" s="80" t="str">
        <x:v>user-08</x:v>
      </x:c>
      <x:c r="C82" s="80" t="str">
        <x:v>희소 이력형</x:v>
      </x:c>
      <x:c r="D82" s="80" t="str">
        <x:v>기존 · 낮은 신뢰도의 희소 이력</x:v>
      </x:c>
      <x:c r="E82" s="80" t="str">
        <x:v>기존</x:v>
      </x:c>
      <x:c r="F82" s="80" t="n">
        <x:v>1</x:v>
      </x:c>
      <x:c r="G82" s="92" t="str">
        <x:v>기초 문법 학습 습관 만들기</x:v>
      </x:c>
      <x:c r="H82" s="92" t="str">
        <x:v>문법 · 시제 · 조동사</x:v>
      </x:c>
      <x:c r="I82" s="92" t="str">
        <x:v>있음</x:v>
      </x:c>
      <x:c r="J82" s="92" t="str">
        <x:v>퀴즈 → 예문 읽기</x:v>
      </x:c>
      <x:c r="K82" s="92" t="str">
        <x:v>퀴즈 80% · 예문 읽기 100%</x:v>
      </x:c>
      <x:c r="L82" s="80" t="n">
        <x:v>8.4</x:v>
      </x:c>
      <x:c r="M82" s="80" t="str">
        <x:v>content-05</x:v>
      </x:c>
      <x:c r="N82" s="96" t="str">
        <x:v>현재완료 오답 교정</x:v>
      </x:c>
      <x:c r="O82" s="96" t="str">
        <x:v>퀴즈</x:v>
      </x:c>
      <x:c r="P82" s="96" t="n">
        <x:v>2</x:v>
      </x:c>
      <x:c r="Q82" s="96" t="n">
        <x:v>9</x:v>
      </x:c>
      <x:c r="R82" s="92" t="str">
        <x:v>현재완료 자주 틀리는 유형을 교정</x:v>
      </x:c>
      <x:c r="S82" s="92" t="str">
        <x:v>시제 · 문법</x:v>
      </x:c>
      <x:c r="T82" s="97" t="str">
        <x:v>직접 일치</x:v>
      </x:c>
      <x:c r="U82" s="86" t="n">
        <x:v>35</x:v>
      </x:c>
      <x:c r="V82" s="86" t="str">
        <x:v>매우 적합</x:v>
      </x:c>
      <x:c r="W82" s="86" t="n">
        <x:v>25</x:v>
      </x:c>
      <x:c r="X82" s="86" t="str">
        <x:v>적합</x:v>
      </x:c>
      <x:c r="Y82" s="86" t="n">
        <x:v>16</x:v>
      </x:c>
      <x:c r="Z82" s="86" t="str">
        <x:v>허용 범위</x:v>
      </x:c>
      <x:c r="AA82" s="86" t="n">
        <x:v>14</x:v>
      </x:c>
      <x:c r="AB82" s="86" t="n">
        <x:f>35+IF(W82="",0,25)+IF(Y82="",0,20)+20</x:f>
        <x:v>100</x:v>
      </x:c>
      <x:c r="AC82" s="104" t="n">
        <x:f>ROUND((U82+IF(W82="",0,W82)+IF(Y82="",0,Y82)+AA82)/AB82*100,1)</x:f>
        <x:v>90</x:v>
      </x:c>
      <x:c r="AD82" s="86" t="str">
        <x:f>IF(AC82&gt;=80,"high",IF(AC82&gt;=50,"medium","low"))</x:f>
        <x:v>high</x:v>
      </x:c>
      <x:c r="AE82" s="89" t="str">
        <x:v>high</x:v>
      </x:c>
      <x:c r="AF82" s="101" t="str">
        <x:v>루브릭 일치</x:v>
      </x:c>
      <x:c r="AG82" s="101" t="str">
        <x:v>목표: 시제 목표가 콘텐츠 학습 목표와 직접 일치 (35/35); 유형: 1순위 선호이며 완료율 80% (25/25); 시간: 9분이 평균 학습 시간의 1.25배 이내 (16/20); 수준: 사용자 레벨과 난이도 차이가 1단계 (14/20). 적용 항목 재환산 90점으로 판단했으며 최종 라벨은 high.</x:v>
      </x:c>
      <x:c r="AH82" s="101" t="str">
        <x:v>우선 검토</x:v>
      </x:c>
      <x:c r="AI82" s="101" t="str">
        <x:v>Codex 초안</x:v>
      </x:c>
      <x:c r="AJ82" s="101" t="str"/>
    </x:row>
    <x:row r="83" ht="52" customHeight="1">
      <x:c r="A83" s="80" t="str">
        <x:v>user-08__content-26</x:v>
      </x:c>
      <x:c r="B83" s="80" t="str">
        <x:v>user-08</x:v>
      </x:c>
      <x:c r="C83" s="80" t="str">
        <x:v>희소 이력형</x:v>
      </x:c>
      <x:c r="D83" s="80" t="str">
        <x:v>기존 · 낮은 신뢰도의 희소 이력</x:v>
      </x:c>
      <x:c r="E83" s="80" t="str">
        <x:v>기존</x:v>
      </x:c>
      <x:c r="F83" s="80" t="n">
        <x:v>1</x:v>
      </x:c>
      <x:c r="G83" s="92" t="str">
        <x:v>기초 문법 학습 습관 만들기</x:v>
      </x:c>
      <x:c r="H83" s="92" t="str">
        <x:v>문법 · 시제 · 조동사</x:v>
      </x:c>
      <x:c r="I83" s="92" t="str">
        <x:v>있음</x:v>
      </x:c>
      <x:c r="J83" s="92" t="str">
        <x:v>퀴즈 → 예문 읽기</x:v>
      </x:c>
      <x:c r="K83" s="92" t="str">
        <x:v>퀴즈 80% · 예문 읽기 100%</x:v>
      </x:c>
      <x:c r="L83" s="80" t="n">
        <x:v>8.4</x:v>
      </x:c>
      <x:c r="M83" s="80" t="str">
        <x:v>content-26</x:v>
      </x:c>
      <x:c r="N83" s="96" t="str">
        <x:v>가정법 핵심 퀴즈</x:v>
      </x:c>
      <x:c r="O83" s="96" t="str">
        <x:v>퀴즈</x:v>
      </x:c>
      <x:c r="P83" s="96" t="n">
        <x:v>1</x:v>
      </x:c>
      <x:c r="Q83" s="96" t="n">
        <x:v>6</x:v>
      </x:c>
      <x:c r="R83" s="92" t="str">
        <x:v>가정법 핵심 규칙을 빠르게 확인</x:v>
      </x:c>
      <x:c r="S83" s="92" t="str">
        <x:v>가정법 · 문법</x:v>
      </x:c>
      <x:c r="T83" s="97" t="str">
        <x:v>넓은 목표 직접 지원</x:v>
      </x:c>
      <x:c r="U83" s="86" t="n">
        <x:v>28</x:v>
      </x:c>
      <x:c r="V83" s="86" t="str">
        <x:v>매우 적합</x:v>
      </x:c>
      <x:c r="W83" s="86" t="n">
        <x:v>25</x:v>
      </x:c>
      <x:c r="X83" s="86" t="str">
        <x:v>매우 적합</x:v>
      </x:c>
      <x:c r="Y83" s="86" t="n">
        <x:v>20</x:v>
      </x:c>
      <x:c r="Z83" s="86" t="str">
        <x:v>정확히 일치</x:v>
      </x:c>
      <x:c r="AA83" s="86" t="n">
        <x:v>20</x:v>
      </x:c>
      <x:c r="AB83" s="86" t="n">
        <x:f>35+IF(W83="",0,25)+IF(Y83="",0,20)+20</x:f>
        <x:v>100</x:v>
      </x:c>
      <x:c r="AC83" s="104" t="n">
        <x:f>ROUND((U83+IF(W83="",0,W83)+IF(Y83="",0,Y83)+AA83)/AB83*100,1)</x:f>
        <x:v>93</x:v>
      </x:c>
      <x:c r="AD83" s="86" t="str">
        <x:f>IF(AC83&gt;=80,"high",IF(AC83&gt;=50,"medium","low"))</x:f>
        <x:v>high</x:v>
      </x:c>
      <x:c r="AE83" s="89" t="str">
        <x:v>medium</x:v>
      </x:c>
      <x:c r="AF83" s="101" t="str">
        <x:v>high → medium 정성 조정</x:v>
      </x:c>
      <x:c r="AG83" s="101" t="str">
        <x:v>목표: 사용자의 넓은 문법 목표를 직접 지원하지만 세부 개념은 명시되지 않음 (28/35); 유형: 1순위 선호이며 완료율 80% (25/25); 시간: 6분이 평균 8.4분 이내 (20/20); 수준: 사용자 레벨 1과 난이도 1가 일치 (20/20). 적용 항목 재환산 93점으로 판단했으며 최종 라벨은 medium.</x:v>
      </x:c>
      <x:c r="AH83" s="101" t="str">
        <x:v>우선 검토</x:v>
      </x:c>
      <x:c r="AI83" s="101" t="str">
        <x:v>Codex 초안</x:v>
      </x:c>
      <x:c r="AJ83" s="101" t="str"/>
    </x:row>
    <x:row r="84" ht="52" customHeight="1">
      <x:c r="A84" s="80" t="str">
        <x:v>user-08__content-27</x:v>
      </x:c>
      <x:c r="B84" s="80" t="str">
        <x:v>user-08</x:v>
      </x:c>
      <x:c r="C84" s="80" t="str">
        <x:v>희소 이력형</x:v>
      </x:c>
      <x:c r="D84" s="80" t="str">
        <x:v>기존 · 낮은 신뢰도의 희소 이력</x:v>
      </x:c>
      <x:c r="E84" s="80" t="str">
        <x:v>기존</x:v>
      </x:c>
      <x:c r="F84" s="80" t="n">
        <x:v>1</x:v>
      </x:c>
      <x:c r="G84" s="92" t="str">
        <x:v>기초 문법 학습 습관 만들기</x:v>
      </x:c>
      <x:c r="H84" s="92" t="str">
        <x:v>문법 · 시제 · 조동사</x:v>
      </x:c>
      <x:c r="I84" s="92" t="str">
        <x:v>있음</x:v>
      </x:c>
      <x:c r="J84" s="92" t="str">
        <x:v>퀴즈 → 예문 읽기</x:v>
      </x:c>
      <x:c r="K84" s="92" t="str">
        <x:v>퀴즈 80% · 예문 읽기 100%</x:v>
      </x:c>
      <x:c r="L84" s="80" t="n">
        <x:v>8.4</x:v>
      </x:c>
      <x:c r="M84" s="80" t="str">
        <x:v>content-27</x:v>
      </x:c>
      <x:c r="N84" s="96" t="str">
        <x:v>가정법 개념 강의</x:v>
      </x:c>
      <x:c r="O84" s="96" t="str">
        <x:v>영상 강의</x:v>
      </x:c>
      <x:c r="P84" s="96" t="n">
        <x:v>2</x:v>
      </x:c>
      <x:c r="Q84" s="96" t="n">
        <x:v>18</x:v>
      </x:c>
      <x:c r="R84" s="92" t="str">
        <x:v>가정법 대표 쓰임과 오류를 이해</x:v>
      </x:c>
      <x:c r="S84" s="92" t="str">
        <x:v>가정법 · 문법</x:v>
      </x:c>
      <x:c r="T84" s="97" t="str">
        <x:v>넓은 목표 직접 지원</x:v>
      </x:c>
      <x:c r="U84" s="86" t="n">
        <x:v>28</x:v>
      </x:c>
      <x:c r="V84" s="86" t="str">
        <x:v>N/A</x:v>
      </x:c>
      <x:c r="W84" s="86"/>
      <x:c r="X84" s="86" t="str">
        <x:v>부담</x:v>
      </x:c>
      <x:c r="Y84" s="86" t="n">
        <x:v>4</x:v>
      </x:c>
      <x:c r="Z84" s="86" t="str">
        <x:v>허용 범위</x:v>
      </x:c>
      <x:c r="AA84" s="86" t="n">
        <x:v>14</x:v>
      </x:c>
      <x:c r="AB84" s="86" t="n">
        <x:f>35+IF(W84="",0,25)+IF(Y84="",0,20)+20</x:f>
        <x:v>75</x:v>
      </x:c>
      <x:c r="AC84" s="104" t="n">
        <x:f>ROUND((U84+IF(W84="",0,W84)+IF(Y84="",0,Y84)+AA84)/AB84*100,1)</x:f>
        <x:v>61.3</x:v>
      </x:c>
      <x:c r="AD84" s="86" t="str">
        <x:f>IF(AC84&gt;=80,"high",IF(AC84&gt;=50,"medium","low"))</x:f>
        <x:v>medium</x:v>
      </x:c>
      <x:c r="AE84" s="89" t="str">
        <x:v>low</x:v>
      </x:c>
      <x:c r="AF84" s="101" t="str">
        <x:v>medium → low 정성 조정</x:v>
      </x:c>
      <x:c r="AG84" s="101" t="str">
        <x:v>목표: 사용자의 넓은 문법 목표를 직접 지원하지만 세부 개념은 명시되지 않음 (28/35); 유형: 해당 유형 관찰 이력이 없어 비선호로 추측하지 않고 제외; 시간: 18분이 평균 8.4분의 1.5배를 초과 (4/20); 수준: 사용자 레벨과 난이도 차이가 1단계 (14/20). 적용 항목 재환산 61.3점으로 판단했으며 최종 라벨은 low.</x:v>
      </x:c>
      <x:c r="AH84" s="101" t="str">
        <x:v>우선 검토</x:v>
      </x:c>
      <x:c r="AI84" s="101" t="str">
        <x:v>Codex 초안</x:v>
      </x:c>
      <x:c r="AJ84" s="101" t="str"/>
    </x:row>
    <x:row r="85" ht="52" customHeight="1">
      <x:c r="A85" s="80" t="str">
        <x:v>user-09__content-35</x:v>
      </x:c>
      <x:c r="B85" s="80" t="str">
        <x:v>user-09</x:v>
      </x:c>
      <x:c r="C85" s="80" t="str">
        <x:v>후보 부족형</x:v>
      </x:c>
      <x:c r="D85" s="80" t="str">
        <x:v>기존 · 최근 완료로 후보 다수 제외</x:v>
      </x:c>
      <x:c r="E85" s="80" t="str">
        <x:v>기존</x:v>
      </x:c>
      <x:c r="F85" s="80" t="n">
        <x:v>2</x:v>
      </x:c>
      <x:c r="G85" s="92" t="str">
        <x:v>수동태와 관계절 오답 교정</x:v>
      </x:c>
      <x:c r="H85" s="92" t="str">
        <x:v>수동태 · 관계절 · 문법</x:v>
      </x:c>
      <x:c r="I85" s="92" t="str">
        <x:v>있음</x:v>
      </x:c>
      <x:c r="J85" s="92" t="str">
        <x:v>퀴즈 → 예문 읽기</x:v>
      </x:c>
      <x:c r="K85" s="92" t="str">
        <x:v>퀴즈 100% · 영상 강의 100% · 예문 읽기 100% · 심화 문제 100%</x:v>
      </x:c>
      <x:c r="L85" s="80" t="n">
        <x:v>12.3</x:v>
      </x:c>
      <x:c r="M85" s="80" t="str">
        <x:v>content-35</x:v>
      </x:c>
      <x:c r="N85" s="96" t="str">
        <x:v>문맥 어휘 오답 교정</x:v>
      </x:c>
      <x:c r="O85" s="96" t="str">
        <x:v>퀴즈</x:v>
      </x:c>
      <x:c r="P85" s="96" t="n">
        <x:v>2</x:v>
      </x:c>
      <x:c r="Q85" s="96" t="n">
        <x:v>9</x:v>
      </x:c>
      <x:c r="R85" s="92" t="str">
        <x:v>문맥 어휘 자주 틀리는 유형을 교정</x:v>
      </x:c>
      <x:c r="S85" s="92" t="str">
        <x:v>문맥 어휘 · 독해</x:v>
      </x:c>
      <x:c r="T85" s="97" t="str">
        <x:v>관련 낮음</x:v>
      </x:c>
      <x:c r="U85" s="86" t="n">
        <x:v>5</x:v>
      </x:c>
      <x:c r="V85" s="86" t="str">
        <x:v>매우 적합</x:v>
      </x:c>
      <x:c r="W85" s="86" t="n">
        <x:v>25</x:v>
      </x:c>
      <x:c r="X85" s="86" t="str">
        <x:v>매우 적합</x:v>
      </x:c>
      <x:c r="Y85" s="86" t="n">
        <x:v>20</x:v>
      </x:c>
      <x:c r="Z85" s="86" t="str">
        <x:v>정확히 일치</x:v>
      </x:c>
      <x:c r="AA85" s="86" t="n">
        <x:v>20</x:v>
      </x:c>
      <x:c r="AB85" s="86" t="n">
        <x:f>35+IF(W85="",0,25)+IF(Y85="",0,20)+20</x:f>
        <x:v>100</x:v>
      </x:c>
      <x:c r="AC85" s="104" t="n">
        <x:f>ROUND((U85+IF(W85="",0,W85)+IF(Y85="",0,Y85)+AA85)/AB85*100,1)</x:f>
        <x:v>70</x:v>
      </x:c>
      <x:c r="AD85" s="86" t="str">
        <x:f>IF(AC85&gt;=80,"high",IF(AC85&gt;=50,"medium","low"))</x:f>
        <x:v>medium</x:v>
      </x:c>
      <x:c r="AE85" s="89" t="str">
        <x:v>medium</x:v>
      </x:c>
      <x:c r="AF85" s="101" t="str">
        <x:v>루브릭 일치</x:v>
      </x:c>
      <x:c r="AG85" s="101" t="str">
        <x:v>목표: 사용자 목표 태그와 콘텐츠 학습 목표의 직접 연결이 없음 (5/35); 유형: 1순위 선호이며 완료율 100% (25/25); 시간: 9분이 평균 12.3분 이내 (20/20); 수준: 사용자 레벨 2과 난이도 2가 일치 (20/20). 적용 항목 재환산 70점으로 판단했으며 최종 라벨은 medium.</x:v>
      </x:c>
      <x:c r="AH85" s="101" t="str">
        <x:v>우선 검토</x:v>
      </x:c>
      <x:c r="AI85" s="101" t="str">
        <x:v>Codex 초안</x:v>
      </x:c>
      <x:c r="AJ85" s="101" t="str"/>
    </x:row>
    <x:row r="86" ht="52" customHeight="1">
      <x:c r="A86" s="80" t="str">
        <x:v>user-09__content-02</x:v>
      </x:c>
      <x:c r="B86" s="80" t="str">
        <x:v>user-09</x:v>
      </x:c>
      <x:c r="C86" s="80" t="str">
        <x:v>후보 부족형</x:v>
      </x:c>
      <x:c r="D86" s="80" t="str">
        <x:v>기존 · 최근 완료로 후보 다수 제외</x:v>
      </x:c>
      <x:c r="E86" s="80" t="str">
        <x:v>기존</x:v>
      </x:c>
      <x:c r="F86" s="80" t="n">
        <x:v>2</x:v>
      </x:c>
      <x:c r="G86" s="92" t="str">
        <x:v>수동태와 관계절 오답 교정</x:v>
      </x:c>
      <x:c r="H86" s="92" t="str">
        <x:v>수동태 · 관계절 · 문법</x:v>
      </x:c>
      <x:c r="I86" s="92" t="str">
        <x:v>있음</x:v>
      </x:c>
      <x:c r="J86" s="92" t="str">
        <x:v>퀴즈 → 예문 읽기</x:v>
      </x:c>
      <x:c r="K86" s="92" t="str">
        <x:v>퀴즈 100% · 영상 강의 100% · 예문 읽기 100% · 심화 문제 100%</x:v>
      </x:c>
      <x:c r="L86" s="80" t="n">
        <x:v>12.3</x:v>
      </x:c>
      <x:c r="M86" s="80" t="str">
        <x:v>content-02</x:v>
      </x:c>
      <x:c r="N86" s="96" t="str">
        <x:v>현재완료 개념 강의</x:v>
      </x:c>
      <x:c r="O86" s="96" t="str">
        <x:v>영상 강의</x:v>
      </x:c>
      <x:c r="P86" s="96" t="n">
        <x:v>2</x:v>
      </x:c>
      <x:c r="Q86" s="96" t="n">
        <x:v>18</x:v>
      </x:c>
      <x:c r="R86" s="92" t="str">
        <x:v>현재완료 대표 쓰임과 오류를 이해</x:v>
      </x:c>
      <x:c r="S86" s="92" t="str">
        <x:v>시제 · 문법</x:v>
      </x:c>
      <x:c r="T86" s="97" t="str">
        <x:v>인접 영역</x:v>
      </x:c>
      <x:c r="U86" s="86" t="n">
        <x:v>18</x:v>
      </x:c>
      <x:c r="V86" s="86" t="str">
        <x:v>적합</x:v>
      </x:c>
      <x:c r="W86" s="86" t="n">
        <x:v>20</x:v>
      </x:c>
      <x:c r="X86" s="86" t="str">
        <x:v>보통</x:v>
      </x:c>
      <x:c r="Y86" s="86" t="n">
        <x:v>10</x:v>
      </x:c>
      <x:c r="Z86" s="86" t="str">
        <x:v>정확히 일치</x:v>
      </x:c>
      <x:c r="AA86" s="86" t="n">
        <x:v>20</x:v>
      </x:c>
      <x:c r="AB86" s="86" t="n">
        <x:f>35+IF(W86="",0,25)+IF(Y86="",0,20)+20</x:f>
        <x:v>100</x:v>
      </x:c>
      <x:c r="AC86" s="104" t="n">
        <x:f>ROUND((U86+IF(W86="",0,W86)+IF(Y86="",0,Y86)+AA86)/AB86*100,1)</x:f>
        <x:v>68</x:v>
      </x:c>
      <x:c r="AD86" s="86" t="str">
        <x:f>IF(AC86&gt;=80,"high",IF(AC86&gt;=50,"medium","low"))</x:f>
        <x:v>medium</x:v>
      </x:c>
      <x:c r="AE86" s="89" t="str">
        <x:v>medium</x:v>
      </x:c>
      <x:c r="AF86" s="101" t="str">
        <x:v>루브릭 일치</x:v>
      </x:c>
      <x:c r="AG86" s="101" t="str">
        <x:v>목표: 일반 문법 영역은 겹치지만 사용자가 명시한 세부 목표와는 다름 (18/35); 유형: 선호 순위에는 없지만 완료율 100% (20/25); 시간: 18분이 평균 학습 시간의 1.5배 이내 (10/20); 수준: 사용자 레벨 2과 난이도 2가 일치 (20/20). 적용 항목 재환산 68점으로 판단했으며 최종 라벨은 medium.</x:v>
      </x:c>
      <x:c r="AH86" s="101" t="str">
        <x:v>우선 검토</x:v>
      </x:c>
      <x:c r="AI86" s="101" t="str">
        <x:v>Codex 초안</x:v>
      </x:c>
      <x:c r="AJ86" s="101" t="str"/>
    </x:row>
    <x:row r="87" ht="52" customHeight="1">
      <x:c r="A87" s="80" t="str">
        <x:v>user-09__content-09</x:v>
      </x:c>
      <x:c r="B87" s="80" t="str">
        <x:v>user-09</x:v>
      </x:c>
      <x:c r="C87" s="80" t="str">
        <x:v>후보 부족형</x:v>
      </x:c>
      <x:c r="D87" s="80" t="str">
        <x:v>기존 · 최근 완료로 후보 다수 제외</x:v>
      </x:c>
      <x:c r="E87" s="80" t="str">
        <x:v>기존</x:v>
      </x:c>
      <x:c r="F87" s="80" t="n">
        <x:v>2</x:v>
      </x:c>
      <x:c r="G87" s="92" t="str">
        <x:v>수동태와 관계절 오답 교정</x:v>
      </x:c>
      <x:c r="H87" s="92" t="str">
        <x:v>수동태 · 관계절 · 문법</x:v>
      </x:c>
      <x:c r="I87" s="92" t="str">
        <x:v>있음</x:v>
      </x:c>
      <x:c r="J87" s="92" t="str">
        <x:v>퀴즈 → 예문 읽기</x:v>
      </x:c>
      <x:c r="K87" s="92" t="str">
        <x:v>퀴즈 100% · 영상 강의 100% · 예문 읽기 100% · 심화 문제 100%</x:v>
      </x:c>
      <x:c r="L87" s="80" t="n">
        <x:v>12.3</x:v>
      </x:c>
      <x:c r="M87" s="80" t="str">
        <x:v>content-09</x:v>
      </x:c>
      <x:c r="N87" s="96" t="str">
        <x:v>과거완료 심화 문제</x:v>
      </x:c>
      <x:c r="O87" s="96" t="str">
        <x:v>심화 문제</x:v>
      </x:c>
      <x:c r="P87" s="96" t="n">
        <x:v>3</x:v>
      </x:c>
      <x:c r="Q87" s="96" t="n">
        <x:v>22</x:v>
      </x:c>
      <x:c r="R87" s="92" t="str">
        <x:v>과거완료 복합 문장에서 정확히 적용</x:v>
      </x:c>
      <x:c r="S87" s="92" t="str">
        <x:v>시제 · 문법</x:v>
      </x:c>
      <x:c r="T87" s="97" t="str">
        <x:v>인접 영역</x:v>
      </x:c>
      <x:c r="U87" s="86" t="n">
        <x:v>18</x:v>
      </x:c>
      <x:c r="V87" s="86" t="str">
        <x:v>적합</x:v>
      </x:c>
      <x:c r="W87" s="86" t="n">
        <x:v>20</x:v>
      </x:c>
      <x:c r="X87" s="86" t="str">
        <x:v>부담</x:v>
      </x:c>
      <x:c r="Y87" s="86" t="n">
        <x:v>4</x:v>
      </x:c>
      <x:c r="Z87" s="86" t="str">
        <x:v>허용 범위</x:v>
      </x:c>
      <x:c r="AA87" s="86" t="n">
        <x:v>14</x:v>
      </x:c>
      <x:c r="AB87" s="86" t="n">
        <x:f>35+IF(W87="",0,25)+IF(Y87="",0,20)+20</x:f>
        <x:v>100</x:v>
      </x:c>
      <x:c r="AC87" s="104" t="n">
        <x:f>ROUND((U87+IF(W87="",0,W87)+IF(Y87="",0,Y87)+AA87)/AB87*100,1)</x:f>
        <x:v>56</x:v>
      </x:c>
      <x:c r="AD87" s="86" t="str">
        <x:f>IF(AC87&gt;=80,"high",IF(AC87&gt;=50,"medium","low"))</x:f>
        <x:v>medium</x:v>
      </x:c>
      <x:c r="AE87" s="89" t="str">
        <x:v>low</x:v>
      </x:c>
      <x:c r="AF87" s="101" t="str">
        <x:v>medium → low 정성 조정</x:v>
      </x:c>
      <x:c r="AG87" s="101" t="str">
        <x:v>목표: 일반 문법 영역은 겹치지만 사용자가 명시한 세부 목표와는 다름 (18/35); 유형: 선호 순위에는 없지만 완료율 100% (20/25); 시간: 22분이 평균 12.3분의 1.5배를 초과 (4/20); 수준: 사용자 레벨과 난이도 차이가 1단계 (14/20). 적용 항목 재환산 56점으로 판단했으며 최종 라벨은 low.</x:v>
      </x:c>
      <x:c r="AH87" s="101" t="str">
        <x:v>우선 검토</x:v>
      </x:c>
      <x:c r="AI87" s="101" t="str">
        <x:v>Codex 초안</x:v>
      </x:c>
      <x:c r="AJ87" s="101" t="str"/>
    </x:row>
    <x:row r="88" ht="52" customHeight="1">
      <x:c r="A88" s="80" t="str">
        <x:v>user-10__content-21</x:v>
      </x:c>
      <x:c r="B88" s="80" t="str">
        <x:v>user-10</x:v>
      </x:c>
      <x:c r="C88" s="80" t="str">
        <x:v>다양성 검증형</x:v>
      </x:c>
      <x:c r="D88" s="80" t="str">
        <x:v>기존 · 동점과 동일 유형 집중</x:v>
      </x:c>
      <x:c r="E88" s="80" t="str">
        <x:v>기존</x:v>
      </x:c>
      <x:c r="F88" s="80" t="n">
        <x:v>2</x:v>
      </x:c>
      <x:c r="G88" s="92" t="str">
        <x:v>문법과 독해를 균형 있게 보완</x:v>
      </x:c>
      <x:c r="H88" s="92" t="str">
        <x:v>문법 · 독해 · 관계절</x:v>
      </x:c>
      <x:c r="I88" s="92" t="str">
        <x:v>있음</x:v>
      </x:c>
      <x:c r="J88" s="92" t="str">
        <x:v>예문 읽기 → 심화 문제</x:v>
      </x:c>
      <x:c r="K88" s="92" t="str">
        <x:v>퀴즈 100% · 예문 읽기 83% · 심화 문제 67%</x:v>
      </x:c>
      <x:c r="L88" s="80" t="n">
        <x:v>13.6</x:v>
      </x:c>
      <x:c r="M88" s="80" t="str">
        <x:v>content-21</x:v>
      </x:c>
      <x:c r="N88" s="96" t="str">
        <x:v>관계대명사 핵심 퀴즈</x:v>
      </x:c>
      <x:c r="O88" s="96" t="str">
        <x:v>퀴즈</x:v>
      </x:c>
      <x:c r="P88" s="96" t="n">
        <x:v>1</x:v>
      </x:c>
      <x:c r="Q88" s="96" t="n">
        <x:v>6</x:v>
      </x:c>
      <x:c r="R88" s="92" t="str">
        <x:v>관계대명사 핵심 규칙을 빠르게 확인</x:v>
      </x:c>
      <x:c r="S88" s="92" t="str">
        <x:v>관계절 · 문법</x:v>
      </x:c>
      <x:c r="T88" s="97" t="str">
        <x:v>직접 일치</x:v>
      </x:c>
      <x:c r="U88" s="86" t="n">
        <x:v>35</x:v>
      </x:c>
      <x:c r="V88" s="86" t="str">
        <x:v>적합</x:v>
      </x:c>
      <x:c r="W88" s="86" t="n">
        <x:v>20</x:v>
      </x:c>
      <x:c r="X88" s="86" t="str">
        <x:v>매우 적합</x:v>
      </x:c>
      <x:c r="Y88" s="86" t="n">
        <x:v>20</x:v>
      </x:c>
      <x:c r="Z88" s="86" t="str">
        <x:v>허용 범위</x:v>
      </x:c>
      <x:c r="AA88" s="86" t="n">
        <x:v>14</x:v>
      </x:c>
      <x:c r="AB88" s="86" t="n">
        <x:f>35+IF(W88="",0,25)+IF(Y88="",0,20)+20</x:f>
        <x:v>100</x:v>
      </x:c>
      <x:c r="AC88" s="104" t="n">
        <x:f>ROUND((U88+IF(W88="",0,W88)+IF(Y88="",0,Y88)+AA88)/AB88*100,1)</x:f>
        <x:v>89</x:v>
      </x:c>
      <x:c r="AD88" s="86" t="str">
        <x:f>IF(AC88&gt;=80,"high",IF(AC88&gt;=50,"medium","low"))</x:f>
        <x:v>high</x:v>
      </x:c>
      <x:c r="AE88" s="89" t="str">
        <x:v>high</x:v>
      </x:c>
      <x:c r="AF88" s="101" t="str">
        <x:v>루브릭 일치</x:v>
      </x:c>
      <x:c r="AG88" s="101" t="str">
        <x:v>목표: 관계절 목표가 콘텐츠 학습 목표와 직접 일치 (35/35); 유형: 선호 순위에는 없지만 완료율 100% (20/25); 시간: 6분이 평균 13.6분 이내 (20/20); 수준: 사용자 레벨과 난이도 차이가 1단계 (14/20). 적용 항목 재환산 89점으로 판단했으며 최종 라벨은 high.</x:v>
      </x:c>
      <x:c r="AH88" s="101" t="str">
        <x:v>일반</x:v>
      </x:c>
      <x:c r="AI88" s="101" t="str">
        <x:v>Codex 초안</x:v>
      </x:c>
      <x:c r="AJ88" s="101" t="str"/>
    </x:row>
    <x:row r="89" ht="52" customHeight="1">
      <x:c r="A89" s="80" t="str">
        <x:v>user-10__content-22</x:v>
      </x:c>
      <x:c r="B89" s="80" t="str">
        <x:v>user-10</x:v>
      </x:c>
      <x:c r="C89" s="80" t="str">
        <x:v>다양성 검증형</x:v>
      </x:c>
      <x:c r="D89" s="80" t="str">
        <x:v>기존 · 동점과 동일 유형 집중</x:v>
      </x:c>
      <x:c r="E89" s="80" t="str">
        <x:v>기존</x:v>
      </x:c>
      <x:c r="F89" s="80" t="n">
        <x:v>2</x:v>
      </x:c>
      <x:c r="G89" s="92" t="str">
        <x:v>문법과 독해를 균형 있게 보완</x:v>
      </x:c>
      <x:c r="H89" s="92" t="str">
        <x:v>문법 · 독해 · 관계절</x:v>
      </x:c>
      <x:c r="I89" s="92" t="str">
        <x:v>있음</x:v>
      </x:c>
      <x:c r="J89" s="92" t="str">
        <x:v>예문 읽기 → 심화 문제</x:v>
      </x:c>
      <x:c r="K89" s="92" t="str">
        <x:v>퀴즈 100% · 예문 읽기 83% · 심화 문제 67%</x:v>
      </x:c>
      <x:c r="L89" s="80" t="n">
        <x:v>13.6</x:v>
      </x:c>
      <x:c r="M89" s="80" t="str">
        <x:v>content-22</x:v>
      </x:c>
      <x:c r="N89" s="96" t="str">
        <x:v>관계대명사 개념 강의</x:v>
      </x:c>
      <x:c r="O89" s="96" t="str">
        <x:v>영상 강의</x:v>
      </x:c>
      <x:c r="P89" s="96" t="n">
        <x:v>2</x:v>
      </x:c>
      <x:c r="Q89" s="96" t="n">
        <x:v>18</x:v>
      </x:c>
      <x:c r="R89" s="92" t="str">
        <x:v>관계대명사 대표 쓰임과 오류를 이해</x:v>
      </x:c>
      <x:c r="S89" s="92" t="str">
        <x:v>관계절 · 문법</x:v>
      </x:c>
      <x:c r="T89" s="97" t="str">
        <x:v>직접 일치</x:v>
      </x:c>
      <x:c r="U89" s="86" t="n">
        <x:v>35</x:v>
      </x:c>
      <x:c r="V89" s="86" t="str">
        <x:v>N/A</x:v>
      </x:c>
      <x:c r="W89" s="86"/>
      <x:c r="X89" s="86" t="str">
        <x:v>보통</x:v>
      </x:c>
      <x:c r="Y89" s="86" t="n">
        <x:v>10</x:v>
      </x:c>
      <x:c r="Z89" s="86" t="str">
        <x:v>정확히 일치</x:v>
      </x:c>
      <x:c r="AA89" s="86" t="n">
        <x:v>20</x:v>
      </x:c>
      <x:c r="AB89" s="86" t="n">
        <x:f>35+IF(W89="",0,25)+IF(Y89="",0,20)+20</x:f>
        <x:v>75</x:v>
      </x:c>
      <x:c r="AC89" s="104" t="n">
        <x:f>ROUND((U89+IF(W89="",0,W89)+IF(Y89="",0,Y89)+AA89)/AB89*100,1)</x:f>
        <x:v>86.7</x:v>
      </x:c>
      <x:c r="AD89" s="86" t="str">
        <x:f>IF(AC89&gt;=80,"high",IF(AC89&gt;=50,"medium","low"))</x:f>
        <x:v>high</x:v>
      </x:c>
      <x:c r="AE89" s="89" t="str">
        <x:v>medium</x:v>
      </x:c>
      <x:c r="AF89" s="101" t="str">
        <x:v>high → medium 정성 조정</x:v>
      </x:c>
      <x:c r="AG89" s="101" t="str">
        <x:v>목표: 관계절 목표가 콘텐츠 학습 목표와 직접 일치 (35/35); 유형: 해당 유형 관찰 이력이 없어 비선호로 추측하지 않고 제외; 시간: 18분이 평균 학습 시간의 1.5배 이내 (10/20); 수준: 사용자 레벨 2과 난이도 2가 일치 (20/20). 적용 항목 재환산 86.7점으로 판단했으며 최종 라벨은 medium.</x:v>
      </x:c>
      <x:c r="AH89" s="101" t="str">
        <x:v>우선 검토</x:v>
      </x:c>
      <x:c r="AI89" s="101" t="str">
        <x:v>Codex 초안</x:v>
      </x:c>
      <x:c r="AJ89" s="101" t="str"/>
    </x:row>
    <x:row r="90" ht="52" customHeight="1">
      <x:c r="A90" s="80" t="str">
        <x:v>user-10__content-23</x:v>
      </x:c>
      <x:c r="B90" s="80" t="str">
        <x:v>user-10</x:v>
      </x:c>
      <x:c r="C90" s="80" t="str">
        <x:v>다양성 검증형</x:v>
      </x:c>
      <x:c r="D90" s="80" t="str">
        <x:v>기존 · 동점과 동일 유형 집중</x:v>
      </x:c>
      <x:c r="E90" s="80" t="str">
        <x:v>기존</x:v>
      </x:c>
      <x:c r="F90" s="80" t="n">
        <x:v>2</x:v>
      </x:c>
      <x:c r="G90" s="92" t="str">
        <x:v>문법과 독해를 균형 있게 보완</x:v>
      </x:c>
      <x:c r="H90" s="92" t="str">
        <x:v>문법 · 독해 · 관계절</x:v>
      </x:c>
      <x:c r="I90" s="92" t="str">
        <x:v>있음</x:v>
      </x:c>
      <x:c r="J90" s="92" t="str">
        <x:v>예문 읽기 → 심화 문제</x:v>
      </x:c>
      <x:c r="K90" s="92" t="str">
        <x:v>퀴즈 100% · 예문 읽기 83% · 심화 문제 67%</x:v>
      </x:c>
      <x:c r="L90" s="80" t="n">
        <x:v>13.6</x:v>
      </x:c>
      <x:c r="M90" s="80" t="str">
        <x:v>content-23</x:v>
      </x:c>
      <x:c r="N90" s="96" t="str">
        <x:v>관계대명사 예문 읽기</x:v>
      </x:c>
      <x:c r="O90" s="96" t="str">
        <x:v>예문 읽기</x:v>
      </x:c>
      <x:c r="P90" s="96" t="n">
        <x:v>2</x:v>
      </x:c>
      <x:c r="Q90" s="96" t="n">
        <x:v>12</x:v>
      </x:c>
      <x:c r="R90" s="92" t="str">
        <x:v>관계대명사 문맥 속 쓰임을 구별</x:v>
      </x:c>
      <x:c r="S90" s="92" t="str">
        <x:v>관계절 · 문법</x:v>
      </x:c>
      <x:c r="T90" s="97" t="str">
        <x:v>직접 일치</x:v>
      </x:c>
      <x:c r="U90" s="86" t="n">
        <x:v>35</x:v>
      </x:c>
      <x:c r="V90" s="86" t="str">
        <x:v>매우 적합</x:v>
      </x:c>
      <x:c r="W90" s="86" t="n">
        <x:v>25</x:v>
      </x:c>
      <x:c r="X90" s="86" t="str">
        <x:v>매우 적합</x:v>
      </x:c>
      <x:c r="Y90" s="86" t="n">
        <x:v>20</x:v>
      </x:c>
      <x:c r="Z90" s="86" t="str">
        <x:v>정확히 일치</x:v>
      </x:c>
      <x:c r="AA90" s="86" t="n">
        <x:v>20</x:v>
      </x:c>
      <x:c r="AB90" s="86" t="n">
        <x:f>35+IF(W90="",0,25)+IF(Y90="",0,20)+20</x:f>
        <x:v>100</x:v>
      </x:c>
      <x:c r="AC90" s="104" t="n">
        <x:f>ROUND((U90+IF(W90="",0,W90)+IF(Y90="",0,Y90)+AA90)/AB90*100,1)</x:f>
        <x:v>100</x:v>
      </x:c>
      <x:c r="AD90" s="86" t="str">
        <x:f>IF(AC90&gt;=80,"high",IF(AC90&gt;=50,"medium","low"))</x:f>
        <x:v>high</x:v>
      </x:c>
      <x:c r="AE90" s="89" t="str">
        <x:v>high</x:v>
      </x:c>
      <x:c r="AF90" s="101" t="str">
        <x:v>루브릭 일치</x:v>
      </x:c>
      <x:c r="AG90" s="101" t="str">
        <x:v>목표: 관계절 목표가 콘텐츠 학습 목표와 직접 일치 (35/35); 유형: 1순위 선호이며 완료율 83% (25/25); 시간: 12분이 평균 13.6분 이내 (20/20); 수준: 사용자 레벨 2과 난이도 2가 일치 (20/20). 적용 항목 재환산 100점으로 판단했으며 최종 라벨은 high.</x:v>
      </x:c>
      <x:c r="AH90" s="101" t="str">
        <x:v>우선 검토</x:v>
      </x:c>
      <x:c r="AI90" s="101" t="str">
        <x:v>Codex 초안</x:v>
      </x:c>
      <x:c r="AJ90" s="101" t="str"/>
    </x:row>
    <x:row r="91" ht="52" customHeight="1">
      <x:c r="A91" s="80" t="str">
        <x:v>user-10__content-24</x:v>
      </x:c>
      <x:c r="B91" s="80" t="str">
        <x:v>user-10</x:v>
      </x:c>
      <x:c r="C91" s="80" t="str">
        <x:v>다양성 검증형</x:v>
      </x:c>
      <x:c r="D91" s="80" t="str">
        <x:v>기존 · 동점과 동일 유형 집중</x:v>
      </x:c>
      <x:c r="E91" s="80" t="str">
        <x:v>기존</x:v>
      </x:c>
      <x:c r="F91" s="80" t="n">
        <x:v>2</x:v>
      </x:c>
      <x:c r="G91" s="92" t="str">
        <x:v>문법과 독해를 균형 있게 보완</x:v>
      </x:c>
      <x:c r="H91" s="92" t="str">
        <x:v>문법 · 독해 · 관계절</x:v>
      </x:c>
      <x:c r="I91" s="92" t="str">
        <x:v>있음</x:v>
      </x:c>
      <x:c r="J91" s="92" t="str">
        <x:v>예문 읽기 → 심화 문제</x:v>
      </x:c>
      <x:c r="K91" s="92" t="str">
        <x:v>퀴즈 100% · 예문 읽기 83% · 심화 문제 67%</x:v>
      </x:c>
      <x:c r="L91" s="80" t="n">
        <x:v>13.6</x:v>
      </x:c>
      <x:c r="M91" s="80" t="str">
        <x:v>content-24</x:v>
      </x:c>
      <x:c r="N91" s="96" t="str">
        <x:v>관계대명사 심화 문제</x:v>
      </x:c>
      <x:c r="O91" s="96" t="str">
        <x:v>심화 문제</x:v>
      </x:c>
      <x:c r="P91" s="96" t="n">
        <x:v>3</x:v>
      </x:c>
      <x:c r="Q91" s="96" t="n">
        <x:v>22</x:v>
      </x:c>
      <x:c r="R91" s="92" t="str">
        <x:v>관계대명사 복합 문장에서 정확히 적용</x:v>
      </x:c>
      <x:c r="S91" s="92" t="str">
        <x:v>관계절 · 문법</x:v>
      </x:c>
      <x:c r="T91" s="97" t="str">
        <x:v>직접 일치</x:v>
      </x:c>
      <x:c r="U91" s="86" t="n">
        <x:v>35</x:v>
      </x:c>
      <x:c r="V91" s="86" t="str">
        <x:v>적합</x:v>
      </x:c>
      <x:c r="W91" s="86" t="n">
        <x:v>22</x:v>
      </x:c>
      <x:c r="X91" s="86" t="str">
        <x:v>부담</x:v>
      </x:c>
      <x:c r="Y91" s="86" t="n">
        <x:v>4</x:v>
      </x:c>
      <x:c r="Z91" s="86" t="str">
        <x:v>허용 범위</x:v>
      </x:c>
      <x:c r="AA91" s="86" t="n">
        <x:v>14</x:v>
      </x:c>
      <x:c r="AB91" s="86" t="n">
        <x:f>35+IF(W91="",0,25)+IF(Y91="",0,20)+20</x:f>
        <x:v>100</x:v>
      </x:c>
      <x:c r="AC91" s="104" t="n">
        <x:f>ROUND((U91+IF(W91="",0,W91)+IF(Y91="",0,Y91)+AA91)/AB91*100,1)</x:f>
        <x:v>75</x:v>
      </x:c>
      <x:c r="AD91" s="86" t="str">
        <x:f>IF(AC91&gt;=80,"high",IF(AC91&gt;=50,"medium","low"))</x:f>
        <x:v>medium</x:v>
      </x:c>
      <x:c r="AE91" s="89" t="str">
        <x:v>medium</x:v>
      </x:c>
      <x:c r="AF91" s="101" t="str">
        <x:v>루브릭 일치</x:v>
      </x:c>
      <x:c r="AG91" s="101" t="str">
        <x:v>목표: 관계절 목표가 콘텐츠 학습 목표와 직접 일치 (35/35); 유형: 2순위 선호 유형 (22/25); 시간: 22분이 평균 13.6분의 1.5배를 초과 (4/20); 수준: 사용자 레벨과 난이도 차이가 1단계 (14/20). 적용 항목 재환산 75점으로 판단했으며 최종 라벨은 medium.</x:v>
      </x:c>
      <x:c r="AH91" s="101" t="str">
        <x:v>일반</x:v>
      </x:c>
      <x:c r="AI91" s="101" t="str">
        <x:v>Codex 초안</x:v>
      </x:c>
      <x:c r="AJ91" s="101" t="str"/>
    </x:row>
    <x:row r="92" ht="52" customHeight="1">
      <x:c r="A92" s="80" t="str">
        <x:v>user-10__content-25</x:v>
      </x:c>
      <x:c r="B92" s="80" t="str">
        <x:v>user-10</x:v>
      </x:c>
      <x:c r="C92" s="80" t="str">
        <x:v>다양성 검증형</x:v>
      </x:c>
      <x:c r="D92" s="80" t="str">
        <x:v>기존 · 동점과 동일 유형 집중</x:v>
      </x:c>
      <x:c r="E92" s="80" t="str">
        <x:v>기존</x:v>
      </x:c>
      <x:c r="F92" s="80" t="n">
        <x:v>2</x:v>
      </x:c>
      <x:c r="G92" s="92" t="str">
        <x:v>문법과 독해를 균형 있게 보완</x:v>
      </x:c>
      <x:c r="H92" s="92" t="str">
        <x:v>문법 · 독해 · 관계절</x:v>
      </x:c>
      <x:c r="I92" s="92" t="str">
        <x:v>있음</x:v>
      </x:c>
      <x:c r="J92" s="92" t="str">
        <x:v>예문 읽기 → 심화 문제</x:v>
      </x:c>
      <x:c r="K92" s="92" t="str">
        <x:v>퀴즈 100% · 예문 읽기 83% · 심화 문제 67%</x:v>
      </x:c>
      <x:c r="L92" s="80" t="n">
        <x:v>13.6</x:v>
      </x:c>
      <x:c r="M92" s="80" t="str">
        <x:v>content-25</x:v>
      </x:c>
      <x:c r="N92" s="96" t="str">
        <x:v>관계대명사 오답 교정</x:v>
      </x:c>
      <x:c r="O92" s="96" t="str">
        <x:v>퀴즈</x:v>
      </x:c>
      <x:c r="P92" s="96" t="n">
        <x:v>2</x:v>
      </x:c>
      <x:c r="Q92" s="96" t="n">
        <x:v>9</x:v>
      </x:c>
      <x:c r="R92" s="92" t="str">
        <x:v>관계대명사 자주 틀리는 유형을 교정</x:v>
      </x:c>
      <x:c r="S92" s="92" t="str">
        <x:v>관계절 · 문법</x:v>
      </x:c>
      <x:c r="T92" s="97" t="str">
        <x:v>직접 일치</x:v>
      </x:c>
      <x:c r="U92" s="86" t="n">
        <x:v>35</x:v>
      </x:c>
      <x:c r="V92" s="86" t="str">
        <x:v>적합</x:v>
      </x:c>
      <x:c r="W92" s="86" t="n">
        <x:v>20</x:v>
      </x:c>
      <x:c r="X92" s="86" t="str">
        <x:v>매우 적합</x:v>
      </x:c>
      <x:c r="Y92" s="86" t="n">
        <x:v>20</x:v>
      </x:c>
      <x:c r="Z92" s="86" t="str">
        <x:v>정확히 일치</x:v>
      </x:c>
      <x:c r="AA92" s="86" t="n">
        <x:v>20</x:v>
      </x:c>
      <x:c r="AB92" s="86" t="n">
        <x:f>35+IF(W92="",0,25)+IF(Y92="",0,20)+20</x:f>
        <x:v>100</x:v>
      </x:c>
      <x:c r="AC92" s="104" t="n">
        <x:f>ROUND((U92+IF(W92="",0,W92)+IF(Y92="",0,Y92)+AA92)/AB92*100,1)</x:f>
        <x:v>95</x:v>
      </x:c>
      <x:c r="AD92" s="86" t="str">
        <x:f>IF(AC92&gt;=80,"high",IF(AC92&gt;=50,"medium","low"))</x:f>
        <x:v>high</x:v>
      </x:c>
      <x:c r="AE92" s="89" t="str">
        <x:v>high</x:v>
      </x:c>
      <x:c r="AF92" s="101" t="str">
        <x:v>루브릭 일치</x:v>
      </x:c>
      <x:c r="AG92" s="101" t="str">
        <x:v>목표: 관계절 목표가 콘텐츠 학습 목표와 직접 일치 (35/35); 유형: 선호 순위에는 없지만 완료율 100% (20/25); 시간: 9분이 평균 13.6분 이내 (20/20); 수준: 사용자 레벨 2과 난이도 2가 일치 (20/20). 적용 항목 재환산 95점으로 판단했으며 최종 라벨은 high.</x:v>
      </x:c>
      <x:c r="AH92" s="101" t="str">
        <x:v>우선 검토</x:v>
      </x:c>
      <x:c r="AI92" s="101" t="str">
        <x:v>Codex 초안</x:v>
      </x:c>
      <x:c r="AJ92" s="101" t="str"/>
    </x:row>
    <x:row r="93" ht="52" customHeight="1">
      <x:c r="A93" s="80" t="str">
        <x:v>user-10__content-11</x:v>
      </x:c>
      <x:c r="B93" s="80" t="str">
        <x:v>user-10</x:v>
      </x:c>
      <x:c r="C93" s="80" t="str">
        <x:v>다양성 검증형</x:v>
      </x:c>
      <x:c r="D93" s="80" t="str">
        <x:v>기존 · 동점과 동일 유형 집중</x:v>
      </x:c>
      <x:c r="E93" s="80" t="str">
        <x:v>기존</x:v>
      </x:c>
      <x:c r="F93" s="80" t="n">
        <x:v>2</x:v>
      </x:c>
      <x:c r="G93" s="92" t="str">
        <x:v>문법과 독해를 균형 있게 보완</x:v>
      </x:c>
      <x:c r="H93" s="92" t="str">
        <x:v>문법 · 독해 · 관계절</x:v>
      </x:c>
      <x:c r="I93" s="92" t="str">
        <x:v>있음</x:v>
      </x:c>
      <x:c r="J93" s="92" t="str">
        <x:v>예문 읽기 → 심화 문제</x:v>
      </x:c>
      <x:c r="K93" s="92" t="str">
        <x:v>퀴즈 100% · 예문 읽기 83% · 심화 문제 67%</x:v>
      </x:c>
      <x:c r="L93" s="80" t="n">
        <x:v>13.6</x:v>
      </x:c>
      <x:c r="M93" s="80" t="str">
        <x:v>content-11</x:v>
      </x:c>
      <x:c r="N93" s="96" t="str">
        <x:v>조동사 핵심 퀴즈</x:v>
      </x:c>
      <x:c r="O93" s="96" t="str">
        <x:v>퀴즈</x:v>
      </x:c>
      <x:c r="P93" s="96" t="n">
        <x:v>1</x:v>
      </x:c>
      <x:c r="Q93" s="96" t="n">
        <x:v>6</x:v>
      </x:c>
      <x:c r="R93" s="92" t="str">
        <x:v>조동사 핵심 규칙을 빠르게 확인</x:v>
      </x:c>
      <x:c r="S93" s="92" t="str">
        <x:v>조동사 · 문법</x:v>
      </x:c>
      <x:c r="T93" s="97" t="str">
        <x:v>넓은 목표 직접 지원</x:v>
      </x:c>
      <x:c r="U93" s="86" t="n">
        <x:v>28</x:v>
      </x:c>
      <x:c r="V93" s="86" t="str">
        <x:v>적합</x:v>
      </x:c>
      <x:c r="W93" s="86" t="n">
        <x:v>20</x:v>
      </x:c>
      <x:c r="X93" s="86" t="str">
        <x:v>매우 적합</x:v>
      </x:c>
      <x:c r="Y93" s="86" t="n">
        <x:v>20</x:v>
      </x:c>
      <x:c r="Z93" s="86" t="str">
        <x:v>허용 범위</x:v>
      </x:c>
      <x:c r="AA93" s="86" t="n">
        <x:v>14</x:v>
      </x:c>
      <x:c r="AB93" s="86" t="n">
        <x:f>35+IF(W93="",0,25)+IF(Y93="",0,20)+20</x:f>
        <x:v>100</x:v>
      </x:c>
      <x:c r="AC93" s="104" t="n">
        <x:f>ROUND((U93+IF(W93="",0,W93)+IF(Y93="",0,Y93)+AA93)/AB93*100,1)</x:f>
        <x:v>82</x:v>
      </x:c>
      <x:c r="AD93" s="86" t="str">
        <x:f>IF(AC93&gt;=80,"high",IF(AC93&gt;=50,"medium","low"))</x:f>
        <x:v>high</x:v>
      </x:c>
      <x:c r="AE93" s="89" t="str">
        <x:v>medium</x:v>
      </x:c>
      <x:c r="AF93" s="101" t="str">
        <x:v>high → medium 정성 조정</x:v>
      </x:c>
      <x:c r="AG93" s="101" t="str">
        <x:v>목표: 사용자의 넓은 문법 목표를 직접 지원하지만 세부 개념은 명시되지 않음 (28/35); 유형: 선호 순위에는 없지만 완료율 100% (20/25); 시간: 6분이 평균 13.6분 이내 (20/20); 수준: 사용자 레벨과 난이도 차이가 1단계 (14/20). 적용 항목 재환산 82점으로 판단했으며 최종 라벨은 medium.</x:v>
      </x:c>
      <x:c r="AH93" s="101" t="str">
        <x:v>우선 검토</x:v>
      </x:c>
      <x:c r="AI93" s="101" t="str">
        <x:v>Codex 초안</x:v>
      </x:c>
      <x:c r="AJ93" s="101" t="str"/>
    </x:row>
    <x:row r="94" ht="52" customHeight="1">
      <x:c r="A94" s="80" t="str">
        <x:v>user-10__content-12</x:v>
      </x:c>
      <x:c r="B94" s="80" t="str">
        <x:v>user-10</x:v>
      </x:c>
      <x:c r="C94" s="80" t="str">
        <x:v>다양성 검증형</x:v>
      </x:c>
      <x:c r="D94" s="80" t="str">
        <x:v>기존 · 동점과 동일 유형 집중</x:v>
      </x:c>
      <x:c r="E94" s="80" t="str">
        <x:v>기존</x:v>
      </x:c>
      <x:c r="F94" s="80" t="n">
        <x:v>2</x:v>
      </x:c>
      <x:c r="G94" s="92" t="str">
        <x:v>문법과 독해를 균형 있게 보완</x:v>
      </x:c>
      <x:c r="H94" s="92" t="str">
        <x:v>문법 · 독해 · 관계절</x:v>
      </x:c>
      <x:c r="I94" s="92" t="str">
        <x:v>있음</x:v>
      </x:c>
      <x:c r="J94" s="92" t="str">
        <x:v>예문 읽기 → 심화 문제</x:v>
      </x:c>
      <x:c r="K94" s="92" t="str">
        <x:v>퀴즈 100% · 예문 읽기 83% · 심화 문제 67%</x:v>
      </x:c>
      <x:c r="L94" s="80" t="n">
        <x:v>13.6</x:v>
      </x:c>
      <x:c r="M94" s="80" t="str">
        <x:v>content-12</x:v>
      </x:c>
      <x:c r="N94" s="96" t="str">
        <x:v>조동사 개념 강의</x:v>
      </x:c>
      <x:c r="O94" s="96" t="str">
        <x:v>영상 강의</x:v>
      </x:c>
      <x:c r="P94" s="96" t="n">
        <x:v>2</x:v>
      </x:c>
      <x:c r="Q94" s="96" t="n">
        <x:v>18</x:v>
      </x:c>
      <x:c r="R94" s="92" t="str">
        <x:v>조동사 대표 쓰임과 오류를 이해</x:v>
      </x:c>
      <x:c r="S94" s="92" t="str">
        <x:v>조동사 · 문법</x:v>
      </x:c>
      <x:c r="T94" s="97" t="str">
        <x:v>넓은 목표 직접 지원</x:v>
      </x:c>
      <x:c r="U94" s="86" t="n">
        <x:v>28</x:v>
      </x:c>
      <x:c r="V94" s="86" t="str">
        <x:v>N/A</x:v>
      </x:c>
      <x:c r="W94" s="86"/>
      <x:c r="X94" s="86" t="str">
        <x:v>보통</x:v>
      </x:c>
      <x:c r="Y94" s="86" t="n">
        <x:v>10</x:v>
      </x:c>
      <x:c r="Z94" s="86" t="str">
        <x:v>정확히 일치</x:v>
      </x:c>
      <x:c r="AA94" s="86" t="n">
        <x:v>20</x:v>
      </x:c>
      <x:c r="AB94" s="86" t="n">
        <x:f>35+IF(W94="",0,25)+IF(Y94="",0,20)+20</x:f>
        <x:v>75</x:v>
      </x:c>
      <x:c r="AC94" s="104" t="n">
        <x:f>ROUND((U94+IF(W94="",0,W94)+IF(Y94="",0,Y94)+AA94)/AB94*100,1)</x:f>
        <x:v>77.3</x:v>
      </x:c>
      <x:c r="AD94" s="86" t="str">
        <x:f>IF(AC94&gt;=80,"high",IF(AC94&gt;=50,"medium","low"))</x:f>
        <x:v>medium</x:v>
      </x:c>
      <x:c r="AE94" s="89" t="str">
        <x:v>medium</x:v>
      </x:c>
      <x:c r="AF94" s="101" t="str">
        <x:v>루브릭 일치</x:v>
      </x:c>
      <x:c r="AG94" s="101" t="str">
        <x:v>목표: 사용자의 넓은 문법 목표를 직접 지원하지만 세부 개념은 명시되지 않음 (28/35); 유형: 해당 유형 관찰 이력이 없어 비선호로 추측하지 않고 제외; 시간: 18분이 평균 학습 시간의 1.5배 이내 (10/20); 수준: 사용자 레벨 2과 난이도 2가 일치 (20/20). 적용 항목 재환산 77.3점으로 판단했으며 최종 라벨은 medium.</x:v>
      </x:c>
      <x:c r="AH94" s="101" t="str">
        <x:v>우선 검토</x:v>
      </x:c>
      <x:c r="AI94" s="101" t="str">
        <x:v>Codex 초안</x:v>
      </x:c>
      <x:c r="AJ94" s="101" t="str"/>
    </x:row>
    <x:row r="95" ht="52" customHeight="1">
      <x:c r="A95" s="80" t="str">
        <x:v>user-10__content-14</x:v>
      </x:c>
      <x:c r="B95" s="80" t="str">
        <x:v>user-10</x:v>
      </x:c>
      <x:c r="C95" s="80" t="str">
        <x:v>다양성 검증형</x:v>
      </x:c>
      <x:c r="D95" s="80" t="str">
        <x:v>기존 · 동점과 동일 유형 집중</x:v>
      </x:c>
      <x:c r="E95" s="80" t="str">
        <x:v>기존</x:v>
      </x:c>
      <x:c r="F95" s="80" t="n">
        <x:v>2</x:v>
      </x:c>
      <x:c r="G95" s="92" t="str">
        <x:v>문법과 독해를 균형 있게 보완</x:v>
      </x:c>
      <x:c r="H95" s="92" t="str">
        <x:v>문법 · 독해 · 관계절</x:v>
      </x:c>
      <x:c r="I95" s="92" t="str">
        <x:v>있음</x:v>
      </x:c>
      <x:c r="J95" s="92" t="str">
        <x:v>예문 읽기 → 심화 문제</x:v>
      </x:c>
      <x:c r="K95" s="92" t="str">
        <x:v>퀴즈 100% · 예문 읽기 83% · 심화 문제 67%</x:v>
      </x:c>
      <x:c r="L95" s="80" t="n">
        <x:v>13.6</x:v>
      </x:c>
      <x:c r="M95" s="80" t="str">
        <x:v>content-14</x:v>
      </x:c>
      <x:c r="N95" s="96" t="str">
        <x:v>조동사 심화 문제</x:v>
      </x:c>
      <x:c r="O95" s="96" t="str">
        <x:v>심화 문제</x:v>
      </x:c>
      <x:c r="P95" s="96" t="n">
        <x:v>3</x:v>
      </x:c>
      <x:c r="Q95" s="96" t="n">
        <x:v>22</x:v>
      </x:c>
      <x:c r="R95" s="92" t="str">
        <x:v>조동사 복합 문장에서 정확히 적용</x:v>
      </x:c>
      <x:c r="S95" s="92" t="str">
        <x:v>조동사 · 문법</x:v>
      </x:c>
      <x:c r="T95" s="97" t="str">
        <x:v>넓은 목표 직접 지원</x:v>
      </x:c>
      <x:c r="U95" s="86" t="n">
        <x:v>28</x:v>
      </x:c>
      <x:c r="V95" s="86" t="str">
        <x:v>적합</x:v>
      </x:c>
      <x:c r="W95" s="86" t="n">
        <x:v>22</x:v>
      </x:c>
      <x:c r="X95" s="86" t="str">
        <x:v>부담</x:v>
      </x:c>
      <x:c r="Y95" s="86" t="n">
        <x:v>4</x:v>
      </x:c>
      <x:c r="Z95" s="86" t="str">
        <x:v>허용 범위</x:v>
      </x:c>
      <x:c r="AA95" s="86" t="n">
        <x:v>14</x:v>
      </x:c>
      <x:c r="AB95" s="86" t="n">
        <x:f>35+IF(W95="",0,25)+IF(Y95="",0,20)+20</x:f>
        <x:v>100</x:v>
      </x:c>
      <x:c r="AC95" s="104" t="n">
        <x:f>ROUND((U95+IF(W95="",0,W95)+IF(Y95="",0,Y95)+AA95)/AB95*100,1)</x:f>
        <x:v>68</x:v>
      </x:c>
      <x:c r="AD95" s="86" t="str">
        <x:f>IF(AC95&gt;=80,"high",IF(AC95&gt;=50,"medium","low"))</x:f>
        <x:v>medium</x:v>
      </x:c>
      <x:c r="AE95" s="89" t="str">
        <x:v>medium</x:v>
      </x:c>
      <x:c r="AF95" s="101" t="str">
        <x:v>루브릭 일치</x:v>
      </x:c>
      <x:c r="AG95" s="101" t="str">
        <x:v>목표: 사용자의 넓은 문법 목표를 직접 지원하지만 세부 개념은 명시되지 않음 (28/35); 유형: 2순위 선호 유형 (22/25); 시간: 22분이 평균 13.6분의 1.5배를 초과 (4/20); 수준: 사용자 레벨과 난이도 차이가 1단계 (14/20). 적용 항목 재환산 68점으로 판단했으며 최종 라벨은 medium.</x:v>
      </x:c>
      <x:c r="AH95" s="101" t="str">
        <x:v>우선 검토</x:v>
      </x:c>
      <x:c r="AI95" s="101" t="str">
        <x:v>Codex 초안</x:v>
      </x:c>
      <x:c r="AJ95" s="101" t="str"/>
    </x:row>
    <x:row r="96" ht="52" customHeight="1">
      <x:c r="A96" s="80" t="str">
        <x:v>user-10__content-15</x:v>
      </x:c>
      <x:c r="B96" s="80" t="str">
        <x:v>user-10</x:v>
      </x:c>
      <x:c r="C96" s="80" t="str">
        <x:v>다양성 검증형</x:v>
      </x:c>
      <x:c r="D96" s="80" t="str">
        <x:v>기존 · 동점과 동일 유형 집중</x:v>
      </x:c>
      <x:c r="E96" s="80" t="str">
        <x:v>기존</x:v>
      </x:c>
      <x:c r="F96" s="80" t="n">
        <x:v>2</x:v>
      </x:c>
      <x:c r="G96" s="92" t="str">
        <x:v>문법과 독해를 균형 있게 보완</x:v>
      </x:c>
      <x:c r="H96" s="92" t="str">
        <x:v>문법 · 독해 · 관계절</x:v>
      </x:c>
      <x:c r="I96" s="92" t="str">
        <x:v>있음</x:v>
      </x:c>
      <x:c r="J96" s="92" t="str">
        <x:v>예문 읽기 → 심화 문제</x:v>
      </x:c>
      <x:c r="K96" s="92" t="str">
        <x:v>퀴즈 100% · 예문 읽기 83% · 심화 문제 67%</x:v>
      </x:c>
      <x:c r="L96" s="80" t="n">
        <x:v>13.6</x:v>
      </x:c>
      <x:c r="M96" s="80" t="str">
        <x:v>content-15</x:v>
      </x:c>
      <x:c r="N96" s="96" t="str">
        <x:v>조동사 오답 교정</x:v>
      </x:c>
      <x:c r="O96" s="96" t="str">
        <x:v>퀴즈</x:v>
      </x:c>
      <x:c r="P96" s="96" t="n">
        <x:v>2</x:v>
      </x:c>
      <x:c r="Q96" s="96" t="n">
        <x:v>9</x:v>
      </x:c>
      <x:c r="R96" s="92" t="str">
        <x:v>조동사 자주 틀리는 유형을 교정</x:v>
      </x:c>
      <x:c r="S96" s="92" t="str">
        <x:v>조동사 · 문법</x:v>
      </x:c>
      <x:c r="T96" s="97" t="str">
        <x:v>넓은 목표 직접 지원</x:v>
      </x:c>
      <x:c r="U96" s="86" t="n">
        <x:v>28</x:v>
      </x:c>
      <x:c r="V96" s="86" t="str">
        <x:v>적합</x:v>
      </x:c>
      <x:c r="W96" s="86" t="n">
        <x:v>20</x:v>
      </x:c>
      <x:c r="X96" s="86" t="str">
        <x:v>매우 적합</x:v>
      </x:c>
      <x:c r="Y96" s="86" t="n">
        <x:v>20</x:v>
      </x:c>
      <x:c r="Z96" s="86" t="str">
        <x:v>정확히 일치</x:v>
      </x:c>
      <x:c r="AA96" s="86" t="n">
        <x:v>20</x:v>
      </x:c>
      <x:c r="AB96" s="86" t="n">
        <x:f>35+IF(W96="",0,25)+IF(Y96="",0,20)+20</x:f>
        <x:v>100</x:v>
      </x:c>
      <x:c r="AC96" s="104" t="n">
        <x:f>ROUND((U96+IF(W96="",0,W96)+IF(Y96="",0,Y96)+AA96)/AB96*100,1)</x:f>
        <x:v>88</x:v>
      </x:c>
      <x:c r="AD96" s="86" t="str">
        <x:f>IF(AC96&gt;=80,"high",IF(AC96&gt;=50,"medium","low"))</x:f>
        <x:v>high</x:v>
      </x:c>
      <x:c r="AE96" s="89" t="str">
        <x:v>medium</x:v>
      </x:c>
      <x:c r="AF96" s="101" t="str">
        <x:v>high → medium 정성 조정</x:v>
      </x:c>
      <x:c r="AG96" s="101" t="str">
        <x:v>목표: 사용자의 넓은 문법 목표를 직접 지원하지만 세부 개념은 명시되지 않음 (28/35); 유형: 선호 순위에는 없지만 완료율 100% (20/25); 시간: 9분이 평균 13.6분 이내 (20/20); 수준: 사용자 레벨 2과 난이도 2가 일치 (20/20). 적용 항목 재환산 88점으로 판단했으며 최종 라벨은 medium.</x:v>
      </x:c>
      <x:c r="AH96" s="101" t="str">
        <x:v>우선 검토</x:v>
      </x:c>
      <x:c r="AI96" s="101" t="str">
        <x:v>Codex 초안</x:v>
      </x:c>
      <x:c r="AJ96" s="101" t="str"/>
    </x:row>
    <x:row r="97" ht="52" customHeight="1">
      <x:c r="A97" s="81" t="str">
        <x:v>user-10__content-31</x:v>
      </x:c>
      <x:c r="B97" s="81" t="str">
        <x:v>user-10</x:v>
      </x:c>
      <x:c r="C97" s="81" t="str">
        <x:v>다양성 검증형</x:v>
      </x:c>
      <x:c r="D97" s="81" t="str">
        <x:v>기존 · 동점과 동일 유형 집중</x:v>
      </x:c>
      <x:c r="E97" s="81" t="str">
        <x:v>기존</x:v>
      </x:c>
      <x:c r="F97" s="81" t="n">
        <x:v>2</x:v>
      </x:c>
      <x:c r="G97" s="93" t="str">
        <x:v>문법과 독해를 균형 있게 보완</x:v>
      </x:c>
      <x:c r="H97" s="93" t="str">
        <x:v>문법 · 독해 · 관계절</x:v>
      </x:c>
      <x:c r="I97" s="93" t="str">
        <x:v>있음</x:v>
      </x:c>
      <x:c r="J97" s="93" t="str">
        <x:v>예문 읽기 → 심화 문제</x:v>
      </x:c>
      <x:c r="K97" s="93" t="str">
        <x:v>퀴즈 100% · 예문 읽기 83% · 심화 문제 67%</x:v>
      </x:c>
      <x:c r="L97" s="81" t="n">
        <x:v>13.6</x:v>
      </x:c>
      <x:c r="M97" s="81" t="str">
        <x:v>content-31</x:v>
      </x:c>
      <x:c r="N97" s="98" t="str">
        <x:v>문맥 어휘 핵심 퀴즈</x:v>
      </x:c>
      <x:c r="O97" s="98" t="str">
        <x:v>퀴즈</x:v>
      </x:c>
      <x:c r="P97" s="98" t="n">
        <x:v>1</x:v>
      </x:c>
      <x:c r="Q97" s="98" t="n">
        <x:v>6</x:v>
      </x:c>
      <x:c r="R97" s="93" t="str">
        <x:v>문맥 어휘 핵심 규칙을 빠르게 확인</x:v>
      </x:c>
      <x:c r="S97" s="93" t="str">
        <x:v>문맥 어휘 · 독해</x:v>
      </x:c>
      <x:c r="T97" s="99" t="str">
        <x:v>직접 일치</x:v>
      </x:c>
      <x:c r="U97" s="87" t="n">
        <x:v>35</x:v>
      </x:c>
      <x:c r="V97" s="87" t="str">
        <x:v>적합</x:v>
      </x:c>
      <x:c r="W97" s="87" t="n">
        <x:v>20</x:v>
      </x:c>
      <x:c r="X97" s="87" t="str">
        <x:v>매우 적합</x:v>
      </x:c>
      <x:c r="Y97" s="87" t="n">
        <x:v>20</x:v>
      </x:c>
      <x:c r="Z97" s="87" t="str">
        <x:v>허용 범위</x:v>
      </x:c>
      <x:c r="AA97" s="87" t="n">
        <x:v>14</x:v>
      </x:c>
      <x:c r="AB97" s="87" t="n">
        <x:f>35+IF(W97="",0,25)+IF(Y97="",0,20)+20</x:f>
        <x:v>100</x:v>
      </x:c>
      <x:c r="AC97" s="105" t="n">
        <x:f>ROUND((U97+IF(W97="",0,W97)+IF(Y97="",0,Y97)+AA97)/AB97*100,1)</x:f>
        <x:v>89</x:v>
      </x:c>
      <x:c r="AD97" s="87" t="str">
        <x:f>IF(AC97&gt;=80,"high",IF(AC97&gt;=50,"medium","low"))</x:f>
        <x:v>high</x:v>
      </x:c>
      <x:c r="AE97" s="90" t="str">
        <x:v>high</x:v>
      </x:c>
      <x:c r="AF97" s="102" t="str">
        <x:v>루브릭 일치</x:v>
      </x:c>
      <x:c r="AG97" s="102" t="str">
        <x:v>목표: 독해 목표가 콘텐츠 학습 목표와 직접 일치 (35/35); 유형: 선호 순위에는 없지만 완료율 100% (20/25); 시간: 6분이 평균 13.6분 이내 (20/20); 수준: 사용자 레벨과 난이도 차이가 1단계 (14/20). 적용 항목 재환산 89점으로 판단했으며 최종 라벨은 high.</x:v>
      </x:c>
      <x:c r="AH97" s="102" t="str">
        <x:v>우선 검토</x:v>
      </x:c>
      <x:c r="AI97" s="102" t="str">
        <x:v>Codex 초안</x:v>
      </x:c>
      <x:c r="AJ97" s="102" t="str"/>
    </x:row>
  </x:sheetData>
  <x:mergeCells>
    <x:mergeCell ref="A1:AJ1"/>
    <x:mergeCell ref="A2:AJ2"/>
  </x:mergeCells>
  <x:conditionalFormatting sqref="AD5:AE97">
    <x:cfRule type="containsText" dxfId="9" priority="1" operator="containsText" text="high"/>
    <x:cfRule type="containsText" dxfId="10" priority="2" operator="containsText" text="medium"/>
    <x:cfRule type="containsText" dxfId="11" priority="3" operator="containsText" text="low"/>
  </x:conditionalFormatting>
  <x:conditionalFormatting sqref="AH5:AH97">
    <x:cfRule type="containsText" dxfId="12" priority="4" operator="containsText" text="수정 필요"/>
  </x:conditionalFormatting>
  <x:dataValidations count="2">
    <x:dataValidation type="list" sqref="AE5:AE97">
      <x:formula1>"high,medium,low"</x:formula1>
    </x:dataValidation>
    <x:dataValidation type="list" sqref="AH5:AH97">
      <x:formula1>"Codex 초안,검토 완료,수정 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649fad51294a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4" hidden="0" customWidth="1"/>
    <x:col min="4" max="4" width="24" hidden="0" customWidth="1"/>
    <x:col min="5" max="5" width="10" hidden="0" customWidth="1"/>
    <x:col min="6" max="6" width="26" hidden="0" customWidth="1"/>
    <x:col min="7" max="7" width="12" hidden="0" customWidth="1"/>
    <x:col min="8" max="8" width="26" hidden="0" customWidth="1"/>
    <x:col min="9" max="9" width="12" hidden="0" customWidth="1"/>
    <x:col min="10" max="10" width="8" hidden="0" customWidth="1"/>
    <x:col min="11" max="11" width="9" hidden="0" customWidth="1"/>
    <x:col min="12" max="12" width="15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12" hidden="0" customWidth="1"/>
    <x:col min="18" max="18" width="12" hidden="0" customWidth="1"/>
    <x:col min="19" max="19" width="11" hidden="0" customWidth="1"/>
    <x:col min="20" max="20" width="14" hidden="0" customWidth="1"/>
    <x:col min="21" max="21" width="13" hidden="0" customWidth="1"/>
    <x:col min="22" max="22" width="14" hidden="0" customWidth="1"/>
    <x:col min="23" max="23" width="18" hidden="0" customWidth="1"/>
    <x:col min="24" max="24" width="20" hidden="0" customWidth="1"/>
    <x:col min="25" max="25" width="66" hidden="0" customWidth="1"/>
    <x:col min="26" max="26" width="14" hidden="0" customWidth="1"/>
    <x:col min="27" max="27" width="14" hidden="0" customWidth="1"/>
    <x:col min="28" max="28" width="30" hidden="0" customWidth="1"/>
  </x:cols>
  <x:sheetData>
    <x:row r="1" ht="32" customHeight="1">
      <x:c r="A1" s="3" t="str">
        <x:v>최종 관련도 라벨 93건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30" customHeight="1">
      <x:c r="A2" s="7" t="str">
        <x:v>학습 필요도와 개인 적합도를 함께 보고 NDCG@3용 0~3 관련도를 판단합니다. 매트릭스 기본값과 정성 조정을 모두 보존합니다.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</x:row>
    <x:row r="4" ht="34" customHeight="1">
      <x:c r="A4" s="31" t="str">
        <x:v>Label ID</x:v>
      </x:c>
      <x:c r="B4" s="32" t="str">
        <x:v>User ID</x:v>
      </x:c>
      <x:c r="C4" s="32" t="str">
        <x:v>사용자명</x:v>
      </x:c>
      <x:c r="D4" s="32" t="str">
        <x:v>시나리오</x:v>
      </x:c>
      <x:c r="E4" s="32" t="str">
        <x:v>사용자 수준</x:v>
      </x:c>
      <x:c r="F4" s="32" t="str">
        <x:v>학습 목표</x:v>
      </x:c>
      <x:c r="G4" s="32" t="str">
        <x:v>Content ID</x:v>
      </x:c>
      <x:c r="H4" s="32" t="str">
        <x:v>콘텐츠명</x:v>
      </x:c>
      <x:c r="I4" s="32" t="str">
        <x:v>유형</x:v>
      </x:c>
      <x:c r="J4" s="32" t="str">
        <x:v>난이도</x:v>
      </x:c>
      <x:c r="K4" s="32" t="str">
        <x:v>시간</x:v>
      </x:c>
      <x:c r="L4" s="32" t="str">
        <x:v>대표 개념</x:v>
      </x:c>
      <x:c r="M4" s="32" t="str">
        <x:v>취약도</x:v>
      </x:c>
      <x:c r="N4" s="32" t="str">
        <x:v>취약 순위</x:v>
      </x:c>
      <x:c r="O4" s="32" t="str">
        <x:v>신뢰도</x:v>
      </x:c>
      <x:c r="P4" s="32" t="str">
        <x:v>데이터 단계</x:v>
      </x:c>
      <x:c r="Q4" s="32" t="str">
        <x:v>최근 오답률</x:v>
      </x:c>
      <x:c r="R4" s="32" t="str">
        <x:v>누적 오답률</x:v>
      </x:c>
      <x:c r="S4" s="32" t="str">
        <x:v>유효 학습 수</x:v>
      </x:c>
      <x:c r="T4" s="32" t="str">
        <x:v>개인 적합 라벨</x:v>
      </x:c>
      <x:c r="U4" s="32" t="str">
        <x:v>학습 필요도</x:v>
      </x:c>
      <x:c r="V4" s="32" t="str">
        <x:v>매트릭스 관련도</x:v>
      </x:c>
      <x:c r="W4" s="32" t="str">
        <x:v>최종 ndcgRelevance</x:v>
      </x:c>
      <x:c r="X4" s="32" t="str">
        <x:v>라벨 조정</x:v>
      </x:c>
      <x:c r="Y4" s="32" t="str">
        <x:v>판단 근거</x:v>
      </x:c>
      <x:c r="Z4" s="32" t="str">
        <x:v>검토 우선순위</x:v>
      </x:c>
      <x:c r="AA4" s="32" t="str">
        <x:v>검토 상태</x:v>
      </x:c>
      <x:c r="AB4" s="33" t="str">
        <x:v>검토 메모</x:v>
      </x:c>
    </x:row>
    <x:row r="5" ht="52" customHeight="1">
      <x:c r="A5" s="79" t="str">
        <x:v>user-01__content-01</x:v>
      </x:c>
      <x:c r="B5" s="79" t="str">
        <x:v>user-01</x:v>
      </x:c>
      <x:c r="C5" s="79" t="str">
        <x:v>진단 시작형</x:v>
      </x:c>
      <x:c r="D5" s="94" t="str">
        <x:v>신규 · 진단 데이터만 존재</x:v>
      </x:c>
      <x:c r="E5" s="91" t="n">
        <x:v>1</x:v>
      </x:c>
      <x:c r="F5" s="91" t="str">
        <x:v>기초 시제와 조동사 정확도 향상</x:v>
      </x:c>
      <x:c r="G5" s="82" t="str">
        <x:v>content-01</x:v>
      </x:c>
      <x:c r="H5" s="91" t="str">
        <x:v>현재완료 핵심 퀴즈</x:v>
      </x:c>
      <x:c r="I5" s="82" t="str">
        <x:v>퀴즈</x:v>
      </x:c>
      <x:c r="J5" s="82" t="n">
        <x:v>1</x:v>
      </x:c>
      <x:c r="K5" s="82" t="n">
        <x:v>6</x:v>
      </x:c>
      <x:c r="L5" s="82" t="str">
        <x:v>현재완료</x:v>
      </x:c>
      <x:c r="M5" s="109" t="n">
        <x:v>75</x:v>
      </x:c>
      <x:c r="N5" s="106" t="n">
        <x:v>1</x:v>
      </x:c>
      <x:c r="O5" s="106" t="str">
        <x:v>낮음</x:v>
      </x:c>
      <x:c r="P5" s="106" t="str">
        <x:v>진단</x:v>
      </x:c>
      <x:c r="Q5" s="112"/>
      <x:c r="R5" s="112"/>
      <x:c r="S5" s="106" t="n">
        <x:v>0</x:v>
      </x:c>
      <x:c r="T5" s="85" t="str">
        <x:f>'개인적합도'!AE5</x:f>
        <x:v>high</x:v>
      </x:c>
      <x:c r="U5" s="85" t="str">
        <x:v>high</x:v>
      </x:c>
      <x:c r="V5" s="85" t="n">
        <x:f>IF(U5="high",IF(T5="high",3,IF(T5="medium",2,1)),IF(U5="medium",IF(T5="low",1,2),IF(T5="low",0,1)))</x:f>
        <x:v>3</x:v>
      </x:c>
      <x:c r="W5" s="88" t="n">
        <x:v>3</x:v>
      </x:c>
      <x:c r="X5" s="100" t="str">
        <x:v>매트릭스 일치</x:v>
      </x:c>
      <x:c r="Y5" s="100" t="str">
        <x:v>최근 0회 오답률 N/A%, 누적 N/A%, 진단 75%로 높은 학습 필요. 현재완료는 직접 목표이며 레벨 1과 정확히 일치하고 진단 취약도도 높아 우선 추천 가치가 큽니다.</x:v>
      </x:c>
      <x:c r="Z5" s="100" t="str">
        <x:v>우선 검토</x:v>
      </x:c>
      <x:c r="AA5" s="100" t="str">
        <x:v>Codex 초안</x:v>
      </x:c>
      <x:c r="AB5" s="100" t="str"/>
    </x:row>
    <x:row r="6" ht="52" customHeight="1">
      <x:c r="A6" s="80" t="str">
        <x:v>user-01__content-02</x:v>
      </x:c>
      <x:c r="B6" s="80" t="str">
        <x:v>user-01</x:v>
      </x:c>
      <x:c r="C6" s="80" t="str">
        <x:v>진단 시작형</x:v>
      </x:c>
      <x:c r="D6" s="96" t="str">
        <x:v>신규 · 진단 데이터만 존재</x:v>
      </x:c>
      <x:c r="E6" s="92" t="n">
        <x:v>1</x:v>
      </x:c>
      <x:c r="F6" s="92" t="str">
        <x:v>기초 시제와 조동사 정확도 향상</x:v>
      </x:c>
      <x:c r="G6" s="83" t="str">
        <x:v>content-02</x:v>
      </x:c>
      <x:c r="H6" s="92" t="str">
        <x:v>현재완료 개념 강의</x:v>
      </x:c>
      <x:c r="I6" s="83" t="str">
        <x:v>영상 강의</x:v>
      </x:c>
      <x:c r="J6" s="83" t="n">
        <x:v>2</x:v>
      </x:c>
      <x:c r="K6" s="83" t="n">
        <x:v>18</x:v>
      </x:c>
      <x:c r="L6" s="83" t="str">
        <x:v>현재완료</x:v>
      </x:c>
      <x:c r="M6" s="110" t="n">
        <x:v>75</x:v>
      </x:c>
      <x:c r="N6" s="107" t="n">
        <x:v>1</x:v>
      </x:c>
      <x:c r="O6" s="107" t="str">
        <x:v>낮음</x:v>
      </x:c>
      <x:c r="P6" s="107" t="str">
        <x:v>진단</x:v>
      </x:c>
      <x:c r="Q6" s="113"/>
      <x:c r="R6" s="113"/>
      <x:c r="S6" s="107" t="n">
        <x:v>0</x:v>
      </x:c>
      <x:c r="T6" s="86" t="str">
        <x:f>'개인적합도'!AE6</x:f>
        <x:v>high</x:v>
      </x:c>
      <x:c r="U6" s="86" t="str">
        <x:v>high</x:v>
      </x:c>
      <x:c r="V6" s="86" t="n">
        <x:f>IF(U6="high",IF(T6="high",3,IF(T6="medium",2,1)),IF(U6="medium",IF(T6="low",1,2),IF(T6="low",0,1)))</x:f>
        <x:v>3</x:v>
      </x:c>
      <x:c r="W6" s="89" t="n">
        <x:v>2</x:v>
      </x:c>
      <x:c r="X6" s="101" t="str">
        <x:v>3 → 2 정성 조정</x:v>
      </x:c>
      <x:c r="Y6" s="101" t="str">
        <x:v>최근 0회 오답률 N/A%, 누적 N/A%, 진단 75%로 높은 학습 필요. 현재완료 직접 목표이지만 레벨이 한 단계 높고 18분 강의 선호 정보가 없어 최상위보다는 한 단계 낮춥니다.</x:v>
      </x:c>
      <x:c r="Z6" s="101" t="str">
        <x:v>우선 검토</x:v>
      </x:c>
      <x:c r="AA6" s="101" t="str">
        <x:v>Codex 초안</x:v>
      </x:c>
      <x:c r="AB6" s="101" t="str"/>
    </x:row>
    <x:row r="7" ht="52" customHeight="1">
      <x:c r="A7" s="80" t="str">
        <x:v>user-01__content-03</x:v>
      </x:c>
      <x:c r="B7" s="80" t="str">
        <x:v>user-01</x:v>
      </x:c>
      <x:c r="C7" s="80" t="str">
        <x:v>진단 시작형</x:v>
      </x:c>
      <x:c r="D7" s="96" t="str">
        <x:v>신규 · 진단 데이터만 존재</x:v>
      </x:c>
      <x:c r="E7" s="92" t="n">
        <x:v>1</x:v>
      </x:c>
      <x:c r="F7" s="92" t="str">
        <x:v>기초 시제와 조동사 정확도 향상</x:v>
      </x:c>
      <x:c r="G7" s="83" t="str">
        <x:v>content-03</x:v>
      </x:c>
      <x:c r="H7" s="92" t="str">
        <x:v>현재완료 예문 읽기</x:v>
      </x:c>
      <x:c r="I7" s="83" t="str">
        <x:v>예문 읽기</x:v>
      </x:c>
      <x:c r="J7" s="83" t="n">
        <x:v>2</x:v>
      </x:c>
      <x:c r="K7" s="83" t="n">
        <x:v>12</x:v>
      </x:c>
      <x:c r="L7" s="83" t="str">
        <x:v>현재완료</x:v>
      </x:c>
      <x:c r="M7" s="110" t="n">
        <x:v>75</x:v>
      </x:c>
      <x:c r="N7" s="107" t="n">
        <x:v>1</x:v>
      </x:c>
      <x:c r="O7" s="107" t="str">
        <x:v>낮음</x:v>
      </x:c>
      <x:c r="P7" s="107" t="str">
        <x:v>진단</x:v>
      </x:c>
      <x:c r="Q7" s="113"/>
      <x:c r="R7" s="113"/>
      <x:c r="S7" s="107" t="n">
        <x:v>0</x:v>
      </x:c>
      <x:c r="T7" s="86" t="str">
        <x:f>'개인적합도'!AE7</x:f>
        <x:v>high</x:v>
      </x:c>
      <x:c r="U7" s="86" t="str">
        <x:v>high</x:v>
      </x:c>
      <x:c r="V7" s="86" t="n">
        <x:f>IF(U7="high",IF(T7="high",3,IF(T7="medium",2,1)),IF(U7="medium",IF(T7="low",1,2),IF(T7="low",0,1)))</x:f>
        <x:v>3</x:v>
      </x:c>
      <x:c r="W7" s="89" t="n">
        <x:v>2</x:v>
      </x:c>
      <x:c r="X7" s="101" t="str">
        <x:v>3 → 2 정성 조정</x:v>
      </x:c>
      <x:c r="Y7" s="101" t="str">
        <x:v>최근 0회 오답률 N/A%, 누적 N/A%, 진단 75%로 높은 학습 필요. 현재완료 직접 목표이나 레벨이 한 단계 높고 읽기 형식 선호가 확인되지 않아 추천 가능 수준으로 판단합니다.</x:v>
      </x:c>
      <x:c r="Z7" s="101" t="str">
        <x:v>우선 검토</x:v>
      </x:c>
      <x:c r="AA7" s="101" t="str">
        <x:v>Codex 초안</x:v>
      </x:c>
      <x:c r="AB7" s="101" t="str"/>
    </x:row>
    <x:row r="8" ht="52" customHeight="1">
      <x:c r="A8" s="80" t="str">
        <x:v>user-01__content-05</x:v>
      </x:c>
      <x:c r="B8" s="80" t="str">
        <x:v>user-01</x:v>
      </x:c>
      <x:c r="C8" s="80" t="str">
        <x:v>진단 시작형</x:v>
      </x:c>
      <x:c r="D8" s="96" t="str">
        <x:v>신규 · 진단 데이터만 존재</x:v>
      </x:c>
      <x:c r="E8" s="92" t="n">
        <x:v>1</x:v>
      </x:c>
      <x:c r="F8" s="92" t="str">
        <x:v>기초 시제와 조동사 정확도 향상</x:v>
      </x:c>
      <x:c r="G8" s="83" t="str">
        <x:v>content-05</x:v>
      </x:c>
      <x:c r="H8" s="92" t="str">
        <x:v>현재완료 오답 교정</x:v>
      </x:c>
      <x:c r="I8" s="83" t="str">
        <x:v>퀴즈</x:v>
      </x:c>
      <x:c r="J8" s="83" t="n">
        <x:v>2</x:v>
      </x:c>
      <x:c r="K8" s="83" t="n">
        <x:v>9</x:v>
      </x:c>
      <x:c r="L8" s="83" t="str">
        <x:v>현재완료</x:v>
      </x:c>
      <x:c r="M8" s="110" t="n">
        <x:v>75</x:v>
      </x:c>
      <x:c r="N8" s="107" t="n">
        <x:v>1</x:v>
      </x:c>
      <x:c r="O8" s="107" t="str">
        <x:v>낮음</x:v>
      </x:c>
      <x:c r="P8" s="107" t="str">
        <x:v>진단</x:v>
      </x:c>
      <x:c r="Q8" s="113"/>
      <x:c r="R8" s="113"/>
      <x:c r="S8" s="107" t="n">
        <x:v>0</x:v>
      </x:c>
      <x:c r="T8" s="86" t="str">
        <x:f>'개인적합도'!AE8</x:f>
        <x:v>high</x:v>
      </x:c>
      <x:c r="U8" s="86" t="str">
        <x:v>high</x:v>
      </x:c>
      <x:c r="V8" s="86" t="n">
        <x:f>IF(U8="high",IF(T8="high",3,IF(T8="medium",2,1)),IF(U8="medium",IF(T8="low",1,2),IF(T8="low",0,1)))</x:f>
        <x:v>3</x:v>
      </x:c>
      <x:c r="W8" s="89" t="n">
        <x:v>2</x:v>
      </x:c>
      <x:c r="X8" s="101" t="str">
        <x:v>3 → 2 정성 조정</x:v>
      </x:c>
      <x:c r="Y8" s="101" t="str">
        <x:v>최근 0회 오답률 N/A%, 누적 N/A%, 진단 75%로 높은 학습 필요. 현재완료 오답 교정은 목표에 직접 맞지만 레벨이 한 단계 높아 관련도 2로 판단합니다.</x:v>
      </x:c>
      <x:c r="Z8" s="101" t="str">
        <x:v>우선 검토</x:v>
      </x:c>
      <x:c r="AA8" s="101" t="str">
        <x:v>Codex 초안</x:v>
      </x:c>
      <x:c r="AB8" s="101" t="str"/>
    </x:row>
    <x:row r="9" ht="52" customHeight="1">
      <x:c r="A9" s="80" t="str">
        <x:v>user-01__content-11</x:v>
      </x:c>
      <x:c r="B9" s="80" t="str">
        <x:v>user-01</x:v>
      </x:c>
      <x:c r="C9" s="80" t="str">
        <x:v>진단 시작형</x:v>
      </x:c>
      <x:c r="D9" s="96" t="str">
        <x:v>신규 · 진단 데이터만 존재</x:v>
      </x:c>
      <x:c r="E9" s="92" t="n">
        <x:v>1</x:v>
      </x:c>
      <x:c r="F9" s="92" t="str">
        <x:v>기초 시제와 조동사 정확도 향상</x:v>
      </x:c>
      <x:c r="G9" s="83" t="str">
        <x:v>content-11</x:v>
      </x:c>
      <x:c r="H9" s="92" t="str">
        <x:v>조동사 핵심 퀴즈</x:v>
      </x:c>
      <x:c r="I9" s="83" t="str">
        <x:v>퀴즈</x:v>
      </x:c>
      <x:c r="J9" s="83" t="n">
        <x:v>1</x:v>
      </x:c>
      <x:c r="K9" s="83" t="n">
        <x:v>6</x:v>
      </x:c>
      <x:c r="L9" s="83" t="str">
        <x:v>조동사</x:v>
      </x:c>
      <x:c r="M9" s="110" t="n">
        <x:v>50</x:v>
      </x:c>
      <x:c r="N9" s="107" t="n">
        <x:v>2</x:v>
      </x:c>
      <x:c r="O9" s="107" t="str">
        <x:v>낮음</x:v>
      </x:c>
      <x:c r="P9" s="107" t="str">
        <x:v>진단</x:v>
      </x:c>
      <x:c r="Q9" s="113"/>
      <x:c r="R9" s="113"/>
      <x:c r="S9" s="107" t="n">
        <x:v>0</x:v>
      </x:c>
      <x:c r="T9" s="86" t="str">
        <x:f>'개인적합도'!AE9</x:f>
        <x:v>high</x:v>
      </x:c>
      <x:c r="U9" s="86" t="str">
        <x:v>medium</x:v>
      </x:c>
      <x:c r="V9" s="86" t="n">
        <x:f>IF(U9="high",IF(T9="high",3,IF(T9="medium",2,1)),IF(U9="medium",IF(T9="low",1,2),IF(T9="low",0,1)))</x:f>
        <x:v>2</x:v>
      </x:c>
      <x:c r="W9" s="89" t="n">
        <x:v>2</x:v>
      </x:c>
      <x:c r="X9" s="101" t="str">
        <x:v>매트릭스 일치</x:v>
      </x:c>
      <x:c r="Y9" s="101" t="str">
        <x:v>최근 0회 오답률 N/A%, 누적 N/A%, 진단 50%로 중간 학습 필요. 조동사는 직접 목표이고 레벨도 맞지만 현재완료보다 취약 근거가 낮아 보조 추천이 적절합니다.</x:v>
      </x:c>
      <x:c r="Z9" s="101" t="str">
        <x:v>우선 검토</x:v>
      </x:c>
      <x:c r="AA9" s="101" t="str">
        <x:v>Codex 초안</x:v>
      </x:c>
      <x:c r="AB9" s="101" t="str"/>
    </x:row>
    <x:row r="10" ht="52" customHeight="1">
      <x:c r="A10" s="80" t="str">
        <x:v>user-01__content-12</x:v>
      </x:c>
      <x:c r="B10" s="80" t="str">
        <x:v>user-01</x:v>
      </x:c>
      <x:c r="C10" s="80" t="str">
        <x:v>진단 시작형</x:v>
      </x:c>
      <x:c r="D10" s="96" t="str">
        <x:v>신규 · 진단 데이터만 존재</x:v>
      </x:c>
      <x:c r="E10" s="92" t="n">
        <x:v>1</x:v>
      </x:c>
      <x:c r="F10" s="92" t="str">
        <x:v>기초 시제와 조동사 정확도 향상</x:v>
      </x:c>
      <x:c r="G10" s="83" t="str">
        <x:v>content-12</x:v>
      </x:c>
      <x:c r="H10" s="92" t="str">
        <x:v>조동사 개념 강의</x:v>
      </x:c>
      <x:c r="I10" s="83" t="str">
        <x:v>영상 강의</x:v>
      </x:c>
      <x:c r="J10" s="83" t="n">
        <x:v>2</x:v>
      </x:c>
      <x:c r="K10" s="83" t="n">
        <x:v>18</x:v>
      </x:c>
      <x:c r="L10" s="83" t="str">
        <x:v>조동사</x:v>
      </x:c>
      <x:c r="M10" s="110" t="n">
        <x:v>50</x:v>
      </x:c>
      <x:c r="N10" s="107" t="n">
        <x:v>2</x:v>
      </x:c>
      <x:c r="O10" s="107" t="str">
        <x:v>낮음</x:v>
      </x:c>
      <x:c r="P10" s="107" t="str">
        <x:v>진단</x:v>
      </x:c>
      <x:c r="Q10" s="113"/>
      <x:c r="R10" s="113"/>
      <x:c r="S10" s="107" t="n">
        <x:v>0</x:v>
      </x:c>
      <x:c r="T10" s="86" t="str">
        <x:f>'개인적합도'!AE10</x:f>
        <x:v>high</x:v>
      </x:c>
      <x:c r="U10" s="86" t="str">
        <x:v>medium</x:v>
      </x:c>
      <x:c r="V10" s="86" t="n">
        <x:f>IF(U10="high",IF(T10="high",3,IF(T10="medium",2,1)),IF(U10="medium",IF(T10="low",1,2),IF(T10="low",0,1)))</x:f>
        <x:v>2</x:v>
      </x:c>
      <x:c r="W10" s="89" t="n">
        <x:v>2</x:v>
      </x:c>
      <x:c r="X10" s="101" t="str">
        <x:v>매트릭스 일치</x:v>
      </x:c>
      <x:c r="Y10" s="101" t="str">
        <x:v>최근 0회 오답률 N/A%, 누적 N/A%, 진단 50%로 중간 학습 필요. 조동사 직접 목표이나 레벨이 한 단계 높고 18분 강의 선호가 확인되지 않았습니다.</x:v>
      </x:c>
      <x:c r="Z10" s="101" t="str">
        <x:v>우선 검토</x:v>
      </x:c>
      <x:c r="AA10" s="101" t="str">
        <x:v>Codex 초안</x:v>
      </x:c>
      <x:c r="AB10" s="101" t="str"/>
    </x:row>
    <x:row r="11" ht="52" customHeight="1">
      <x:c r="A11" s="80" t="str">
        <x:v>user-01__content-13</x:v>
      </x:c>
      <x:c r="B11" s="80" t="str">
        <x:v>user-01</x:v>
      </x:c>
      <x:c r="C11" s="80" t="str">
        <x:v>진단 시작형</x:v>
      </x:c>
      <x:c r="D11" s="96" t="str">
        <x:v>신규 · 진단 데이터만 존재</x:v>
      </x:c>
      <x:c r="E11" s="92" t="n">
        <x:v>1</x:v>
      </x:c>
      <x:c r="F11" s="92" t="str">
        <x:v>기초 시제와 조동사 정확도 향상</x:v>
      </x:c>
      <x:c r="G11" s="83" t="str">
        <x:v>content-13</x:v>
      </x:c>
      <x:c r="H11" s="92" t="str">
        <x:v>조동사 예문 읽기</x:v>
      </x:c>
      <x:c r="I11" s="83" t="str">
        <x:v>예문 읽기</x:v>
      </x:c>
      <x:c r="J11" s="83" t="n">
        <x:v>2</x:v>
      </x:c>
      <x:c r="K11" s="83" t="n">
        <x:v>12</x:v>
      </x:c>
      <x:c r="L11" s="83" t="str">
        <x:v>조동사</x:v>
      </x:c>
      <x:c r="M11" s="110" t="n">
        <x:v>50</x:v>
      </x:c>
      <x:c r="N11" s="107" t="n">
        <x:v>2</x:v>
      </x:c>
      <x:c r="O11" s="107" t="str">
        <x:v>낮음</x:v>
      </x:c>
      <x:c r="P11" s="107" t="str">
        <x:v>진단</x:v>
      </x:c>
      <x:c r="Q11" s="113"/>
      <x:c r="R11" s="113"/>
      <x:c r="S11" s="107" t="n">
        <x:v>0</x:v>
      </x:c>
      <x:c r="T11" s="86" t="str">
        <x:f>'개인적합도'!AE11</x:f>
        <x:v>high</x:v>
      </x:c>
      <x:c r="U11" s="86" t="str">
        <x:v>medium</x:v>
      </x:c>
      <x:c r="V11" s="86" t="n">
        <x:f>IF(U11="high",IF(T11="high",3,IF(T11="medium",2,1)),IF(U11="medium",IF(T11="low",1,2),IF(T11="low",0,1)))</x:f>
        <x:v>2</x:v>
      </x:c>
      <x:c r="W11" s="89" t="n">
        <x:v>2</x:v>
      </x:c>
      <x:c r="X11" s="101" t="str">
        <x:v>매트릭스 일치</x:v>
      </x:c>
      <x:c r="Y11" s="101" t="str">
        <x:v>최근 0회 오답률 N/A%, 누적 N/A%, 진단 50%로 중간 학습 필요. 조동사 직접 목표이지만 레벨이 한 단계 높고 형식 선호 정보가 없어 추천 가능 수준으로 둡니다.</x:v>
      </x:c>
      <x:c r="Z11" s="101" t="str">
        <x:v>우선 검토</x:v>
      </x:c>
      <x:c r="AA11" s="101" t="str">
        <x:v>Codex 초안</x:v>
      </x:c>
      <x:c r="AB11" s="101" t="str"/>
    </x:row>
    <x:row r="12" ht="52" customHeight="1">
      <x:c r="A12" s="80" t="str">
        <x:v>user-01__content-15</x:v>
      </x:c>
      <x:c r="B12" s="80" t="str">
        <x:v>user-01</x:v>
      </x:c>
      <x:c r="C12" s="80" t="str">
        <x:v>진단 시작형</x:v>
      </x:c>
      <x:c r="D12" s="96" t="str">
        <x:v>신규 · 진단 데이터만 존재</x:v>
      </x:c>
      <x:c r="E12" s="92" t="n">
        <x:v>1</x:v>
      </x:c>
      <x:c r="F12" s="92" t="str">
        <x:v>기초 시제와 조동사 정확도 향상</x:v>
      </x:c>
      <x:c r="G12" s="83" t="str">
        <x:v>content-15</x:v>
      </x:c>
      <x:c r="H12" s="92" t="str">
        <x:v>조동사 오답 교정</x:v>
      </x:c>
      <x:c r="I12" s="83" t="str">
        <x:v>퀴즈</x:v>
      </x:c>
      <x:c r="J12" s="83" t="n">
        <x:v>2</x:v>
      </x:c>
      <x:c r="K12" s="83" t="n">
        <x:v>9</x:v>
      </x:c>
      <x:c r="L12" s="83" t="str">
        <x:v>조동사</x:v>
      </x:c>
      <x:c r="M12" s="110" t="n">
        <x:v>50</x:v>
      </x:c>
      <x:c r="N12" s="107" t="n">
        <x:v>2</x:v>
      </x:c>
      <x:c r="O12" s="107" t="str">
        <x:v>낮음</x:v>
      </x:c>
      <x:c r="P12" s="107" t="str">
        <x:v>진단</x:v>
      </x:c>
      <x:c r="Q12" s="113"/>
      <x:c r="R12" s="113"/>
      <x:c r="S12" s="107" t="n">
        <x:v>0</x:v>
      </x:c>
      <x:c r="T12" s="86" t="str">
        <x:f>'개인적합도'!AE12</x:f>
        <x:v>high</x:v>
      </x:c>
      <x:c r="U12" s="86" t="str">
        <x:v>medium</x:v>
      </x:c>
      <x:c r="V12" s="86" t="n">
        <x:f>IF(U12="high",IF(T12="high",3,IF(T12="medium",2,1)),IF(U12="medium",IF(T12="low",1,2),IF(T12="low",0,1)))</x:f>
        <x:v>2</x:v>
      </x:c>
      <x:c r="W12" s="89" t="n">
        <x:v>2</x:v>
      </x:c>
      <x:c r="X12" s="101" t="str">
        <x:v>매트릭스 일치</x:v>
      </x:c>
      <x:c r="Y12" s="101" t="str">
        <x:v>최근 0회 오답률 N/A%, 누적 N/A%, 진단 50%로 중간 학습 필요. 조동사 직접 목표의 오답 교정 콘텐츠이나 레벨이 한 단계 높아 관련도 2로 판단합니다.</x:v>
      </x:c>
      <x:c r="Z12" s="101" t="str">
        <x:v>우선 검토</x:v>
      </x:c>
      <x:c r="AA12" s="101" t="str">
        <x:v>Codex 초안</x:v>
      </x:c>
      <x:c r="AB12" s="101" t="str"/>
    </x:row>
    <x:row r="13" ht="52" customHeight="1">
      <x:c r="A13" s="80" t="str">
        <x:v>user-01__content-21</x:v>
      </x:c>
      <x:c r="B13" s="80" t="str">
        <x:v>user-01</x:v>
      </x:c>
      <x:c r="C13" s="80" t="str">
        <x:v>진단 시작형</x:v>
      </x:c>
      <x:c r="D13" s="96" t="str">
        <x:v>신규 · 진단 데이터만 존재</x:v>
      </x:c>
      <x:c r="E13" s="92" t="n">
        <x:v>1</x:v>
      </x:c>
      <x:c r="F13" s="92" t="str">
        <x:v>기초 시제와 조동사 정확도 향상</x:v>
      </x:c>
      <x:c r="G13" s="83" t="str">
        <x:v>content-21</x:v>
      </x:c>
      <x:c r="H13" s="92" t="str">
        <x:v>관계대명사 핵심 퀴즈</x:v>
      </x:c>
      <x:c r="I13" s="83" t="str">
        <x:v>퀴즈</x:v>
      </x:c>
      <x:c r="J13" s="83" t="n">
        <x:v>1</x:v>
      </x:c>
      <x:c r="K13" s="83" t="n">
        <x:v>6</x:v>
      </x:c>
      <x:c r="L13" s="83" t="str">
        <x:v>관계대명사</x:v>
      </x:c>
      <x:c r="M13" s="110" t="n">
        <x:v>50</x:v>
      </x:c>
      <x:c r="N13" s="107" t="n">
        <x:v>3</x:v>
      </x:c>
      <x:c r="O13" s="107" t="str">
        <x:v>낮음</x:v>
      </x:c>
      <x:c r="P13" s="107" t="str">
        <x:v>진단</x:v>
      </x:c>
      <x:c r="Q13" s="113"/>
      <x:c r="R13" s="113"/>
      <x:c r="S13" s="107" t="n">
        <x:v>0</x:v>
      </x:c>
      <x:c r="T13" s="86" t="str">
        <x:f>'개인적합도'!AE13</x:f>
        <x:v>medium</x:v>
      </x:c>
      <x:c r="U13" s="86" t="str">
        <x:v>medium</x:v>
      </x:c>
      <x:c r="V13" s="86" t="n">
        <x:f>IF(U13="high",IF(T13="high",3,IF(T13="medium",2,1)),IF(U13="medium",IF(T13="low",1,2),IF(T13="low",0,1)))</x:f>
        <x:v>2</x:v>
      </x:c>
      <x:c r="W13" s="89" t="n">
        <x:v>1</x:v>
      </x:c>
      <x:c r="X13" s="101" t="str">
        <x:v>2 → 1 정성 조정</x:v>
      </x:c>
      <x:c r="Y13" s="101" t="str">
        <x:v>최근 0회 오답률 N/A%, 누적 N/A%, 진단 50%로 중간 학습 필요. 관계대명사는 명시 목표 밖이지만 기초 수준이며 진단상 학습 필요가 일부 있어 후순위 후보입니다.</x:v>
      </x:c>
      <x:c r="Z13" s="101" t="str">
        <x:v>우선 검토</x:v>
      </x:c>
      <x:c r="AA13" s="101" t="str">
        <x:v>Codex 초안</x:v>
      </x:c>
      <x:c r="AB13" s="101" t="str"/>
    </x:row>
    <x:row r="14" ht="52" customHeight="1">
      <x:c r="A14" s="80" t="str">
        <x:v>user-01__content-22</x:v>
      </x:c>
      <x:c r="B14" s="80" t="str">
        <x:v>user-01</x:v>
      </x:c>
      <x:c r="C14" s="80" t="str">
        <x:v>진단 시작형</x:v>
      </x:c>
      <x:c r="D14" s="96" t="str">
        <x:v>신규 · 진단 데이터만 존재</x:v>
      </x:c>
      <x:c r="E14" s="92" t="n">
        <x:v>1</x:v>
      </x:c>
      <x:c r="F14" s="92" t="str">
        <x:v>기초 시제와 조동사 정확도 향상</x:v>
      </x:c>
      <x:c r="G14" s="83" t="str">
        <x:v>content-22</x:v>
      </x:c>
      <x:c r="H14" s="92" t="str">
        <x:v>관계대명사 개념 강의</x:v>
      </x:c>
      <x:c r="I14" s="83" t="str">
        <x:v>영상 강의</x:v>
      </x:c>
      <x:c r="J14" s="83" t="n">
        <x:v>2</x:v>
      </x:c>
      <x:c r="K14" s="83" t="n">
        <x:v>18</x:v>
      </x:c>
      <x:c r="L14" s="83" t="str">
        <x:v>관계대명사</x:v>
      </x:c>
      <x:c r="M14" s="110" t="n">
        <x:v>50</x:v>
      </x:c>
      <x:c r="N14" s="107" t="n">
        <x:v>3</x:v>
      </x:c>
      <x:c r="O14" s="107" t="str">
        <x:v>낮음</x:v>
      </x:c>
      <x:c r="P14" s="107" t="str">
        <x:v>진단</x:v>
      </x:c>
      <x:c r="Q14" s="113"/>
      <x:c r="R14" s="113"/>
      <x:c r="S14" s="107" t="n">
        <x:v>0</x:v>
      </x:c>
      <x:c r="T14" s="86" t="str">
        <x:f>'개인적합도'!AE14</x:f>
        <x:v>low</x:v>
      </x:c>
      <x:c r="U14" s="86" t="str">
        <x:v>medium</x:v>
      </x:c>
      <x:c r="V14" s="86" t="n">
        <x:f>IF(U14="high",IF(T14="high",3,IF(T14="medium",2,1)),IF(U14="medium",IF(T14="low",1,2),IF(T14="low",0,1)))</x:f>
        <x:v>1</x:v>
      </x:c>
      <x:c r="W14" s="89" t="n">
        <x:v>1</x:v>
      </x:c>
      <x:c r="X14" s="101" t="str">
        <x:v>매트릭스 일치</x:v>
      </x:c>
      <x:c r="Y14" s="101" t="str">
        <x:v>최근 0회 오답률 N/A%, 누적 N/A%, 진단 50%로 중간 학습 필요. 관계대명사는 명시 목표 밖이고 레벨도 높지만 진단상 필요 근거가 있어 완전 부적합보다는 보조 후보로 둡니다.</x:v>
      </x:c>
      <x:c r="Z14" s="101" t="str">
        <x:v>우선 검토</x:v>
      </x:c>
      <x:c r="AA14" s="101" t="str">
        <x:v>Codex 초안</x:v>
      </x:c>
      <x:c r="AB14" s="101" t="str"/>
    </x:row>
    <x:row r="15" ht="52" customHeight="1">
      <x:c r="A15" s="80" t="str">
        <x:v>user-02__content-06</x:v>
      </x:c>
      <x:c r="B15" s="80" t="str">
        <x:v>user-02</x:v>
      </x:c>
      <x:c r="C15" s="80" t="str">
        <x:v>혼합 전환형</x:v>
      </x:c>
      <x:c r="D15" s="96" t="str">
        <x:v>신규 · 행동 5~9회 혼합 구간</x:v>
      </x:c>
      <x:c r="E15" s="92" t="n">
        <x:v>2</x:v>
      </x:c>
      <x:c r="F15" s="92" t="str">
        <x:v>완료 시제와 수동태 오류 줄이기</x:v>
      </x:c>
      <x:c r="G15" s="83" t="str">
        <x:v>content-06</x:v>
      </x:c>
      <x:c r="H15" s="92" t="str">
        <x:v>과거완료 핵심 퀴즈</x:v>
      </x:c>
      <x:c r="I15" s="83" t="str">
        <x:v>퀴즈</x:v>
      </x:c>
      <x:c r="J15" s="83" t="n">
        <x:v>1</x:v>
      </x:c>
      <x:c r="K15" s="83" t="n">
        <x:v>6</x:v>
      </x:c>
      <x:c r="L15" s="83" t="str">
        <x:v>과거완료</x:v>
      </x:c>
      <x:c r="M15" s="110" t="n">
        <x:v>80</x:v>
      </x:c>
      <x:c r="N15" s="107" t="n">
        <x:v>1</x:v>
      </x:c>
      <x:c r="O15" s="107" t="str">
        <x:v>보통</x:v>
      </x:c>
      <x:c r="P15" s="107" t="str">
        <x:v>진단·행동 혼합</x:v>
      </x:c>
      <x:c r="Q15" s="113" t="n">
        <x:v>0.8</x:v>
      </x:c>
      <x:c r="R15" s="113" t="n">
        <x:v>0.8</x:v>
      </x:c>
      <x:c r="S15" s="107" t="n">
        <x:v>5</x:v>
      </x:c>
      <x:c r="T15" s="86" t="str">
        <x:f>'개인적합도'!AE15</x:f>
        <x:v>high</x:v>
      </x:c>
      <x:c r="U15" s="86" t="str">
        <x:v>high</x:v>
      </x:c>
      <x:c r="V15" s="86" t="n">
        <x:f>IF(U15="high",IF(T15="high",3,IF(T15="medium",2,1)),IF(U15="medium",IF(T15="low",1,2),IF(T15="low",0,1)))</x:f>
        <x:v>3</x:v>
      </x:c>
      <x:c r="W15" s="89" t="n">
        <x:v>3</x:v>
      </x:c>
      <x:c r="X15" s="101" t="str">
        <x:v>매트릭스 일치</x:v>
      </x:c>
      <x:c r="Y15" s="101" t="str">
        <x:v>최근 5회 오답률 80%, 누적 80%, 진단 80%로 높은 학습 필요. 과거완료는 완료 시제 직접 목표이며 퀴즈 선호와 높은 취약도가 함께 확인됩니다.</x:v>
      </x:c>
      <x:c r="Z15" s="101" t="str">
        <x:v>일반</x:v>
      </x:c>
      <x:c r="AA15" s="101" t="str">
        <x:v>Codex 초안</x:v>
      </x:c>
      <x:c r="AB15" s="101" t="str"/>
    </x:row>
    <x:row r="16" ht="52" customHeight="1">
      <x:c r="A16" s="80" t="str">
        <x:v>user-02__content-07</x:v>
      </x:c>
      <x:c r="B16" s="80" t="str">
        <x:v>user-02</x:v>
      </x:c>
      <x:c r="C16" s="80" t="str">
        <x:v>혼합 전환형</x:v>
      </x:c>
      <x:c r="D16" s="96" t="str">
        <x:v>신규 · 행동 5~9회 혼합 구간</x:v>
      </x:c>
      <x:c r="E16" s="92" t="n">
        <x:v>2</x:v>
      </x:c>
      <x:c r="F16" s="92" t="str">
        <x:v>완료 시제와 수동태 오류 줄이기</x:v>
      </x:c>
      <x:c r="G16" s="83" t="str">
        <x:v>content-07</x:v>
      </x:c>
      <x:c r="H16" s="92" t="str">
        <x:v>과거완료 개념 강의</x:v>
      </x:c>
      <x:c r="I16" s="83" t="str">
        <x:v>영상 강의</x:v>
      </x:c>
      <x:c r="J16" s="83" t="n">
        <x:v>2</x:v>
      </x:c>
      <x:c r="K16" s="83" t="n">
        <x:v>18</x:v>
      </x:c>
      <x:c r="L16" s="83" t="str">
        <x:v>과거완료</x:v>
      </x:c>
      <x:c r="M16" s="110" t="n">
        <x:v>80</x:v>
      </x:c>
      <x:c r="N16" s="107" t="n">
        <x:v>1</x:v>
      </x:c>
      <x:c r="O16" s="107" t="str">
        <x:v>보통</x:v>
      </x:c>
      <x:c r="P16" s="107" t="str">
        <x:v>진단·행동 혼합</x:v>
      </x:c>
      <x:c r="Q16" s="113" t="n">
        <x:v>0.8</x:v>
      </x:c>
      <x:c r="R16" s="113" t="n">
        <x:v>0.8</x:v>
      </x:c>
      <x:c r="S16" s="107" t="n">
        <x:v>5</x:v>
      </x:c>
      <x:c r="T16" s="86" t="str">
        <x:f>'개인적합도'!AE16</x:f>
        <x:v>high</x:v>
      </x:c>
      <x:c r="U16" s="86" t="str">
        <x:v>high</x:v>
      </x:c>
      <x:c r="V16" s="86" t="n">
        <x:f>IF(U16="high",IF(T16="high",3,IF(T16="medium",2,1)),IF(U16="medium",IF(T16="low",1,2),IF(T16="low",0,1)))</x:f>
        <x:v>3</x:v>
      </x:c>
      <x:c r="W16" s="89" t="n">
        <x:v>3</x:v>
      </x:c>
      <x:c r="X16" s="101" t="str">
        <x:v>매트릭스 일치</x:v>
      </x:c>
      <x:c r="Y16" s="101" t="str">
        <x:v>최근 5회 오답률 80%, 누적 80%, 진단 80%로 높은 학습 필요. 과거완료 직접 목표이고 레벨과 시간이 정확히 맞아 우선 추천할 수 있습니다.</x:v>
      </x:c>
      <x:c r="Z16" s="101" t="str">
        <x:v>일반</x:v>
      </x:c>
      <x:c r="AA16" s="101" t="str">
        <x:v>Codex 초안</x:v>
      </x:c>
      <x:c r="AB16" s="101" t="str"/>
    </x:row>
    <x:row r="17" ht="52" customHeight="1">
      <x:c r="A17" s="80" t="str">
        <x:v>user-02__content-09</x:v>
      </x:c>
      <x:c r="B17" s="80" t="str">
        <x:v>user-02</x:v>
      </x:c>
      <x:c r="C17" s="80" t="str">
        <x:v>혼합 전환형</x:v>
      </x:c>
      <x:c r="D17" s="96" t="str">
        <x:v>신규 · 행동 5~9회 혼합 구간</x:v>
      </x:c>
      <x:c r="E17" s="92" t="n">
        <x:v>2</x:v>
      </x:c>
      <x:c r="F17" s="92" t="str">
        <x:v>완료 시제와 수동태 오류 줄이기</x:v>
      </x:c>
      <x:c r="G17" s="83" t="str">
        <x:v>content-09</x:v>
      </x:c>
      <x:c r="H17" s="92" t="str">
        <x:v>과거완료 심화 문제</x:v>
      </x:c>
      <x:c r="I17" s="83" t="str">
        <x:v>심화 문제</x:v>
      </x:c>
      <x:c r="J17" s="83" t="n">
        <x:v>3</x:v>
      </x:c>
      <x:c r="K17" s="83" t="n">
        <x:v>22</x:v>
      </x:c>
      <x:c r="L17" s="83" t="str">
        <x:v>과거완료</x:v>
      </x:c>
      <x:c r="M17" s="110" t="n">
        <x:v>80</x:v>
      </x:c>
      <x:c r="N17" s="107" t="n">
        <x:v>1</x:v>
      </x:c>
      <x:c r="O17" s="107" t="str">
        <x:v>보통</x:v>
      </x:c>
      <x:c r="P17" s="107" t="str">
        <x:v>진단·행동 혼합</x:v>
      </x:c>
      <x:c r="Q17" s="113" t="n">
        <x:v>0.8</x:v>
      </x:c>
      <x:c r="R17" s="113" t="n">
        <x:v>0.8</x:v>
      </x:c>
      <x:c r="S17" s="107" t="n">
        <x:v>5</x:v>
      </x:c>
      <x:c r="T17" s="86" t="str">
        <x:f>'개인적합도'!AE17</x:f>
        <x:v>high</x:v>
      </x:c>
      <x:c r="U17" s="86" t="str">
        <x:v>high</x:v>
      </x:c>
      <x:c r="V17" s="86" t="n">
        <x:f>IF(U17="high",IF(T17="high",3,IF(T17="medium",2,1)),IF(U17="medium",IF(T17="low",1,2),IF(T17="low",0,1)))</x:f>
        <x:v>3</x:v>
      </x:c>
      <x:c r="W17" s="89" t="n">
        <x:v>3</x:v>
      </x:c>
      <x:c r="X17" s="101" t="str">
        <x:v>매트릭스 일치</x:v>
      </x:c>
      <x:c r="Y17" s="101" t="str">
        <x:v>최근 5회 오답률 80%, 누적 80%, 진단 80%로 높은 학습 필요. 과거완료 직접 목표, 최우선 문제풀이 선호, 허용 가능한 시간과 난이도가 모두 맞습니다.</x:v>
      </x:c>
      <x:c r="Z17" s="101" t="str">
        <x:v>일반</x:v>
      </x:c>
      <x:c r="AA17" s="101" t="str">
        <x:v>Codex 초안</x:v>
      </x:c>
      <x:c r="AB17" s="101" t="str"/>
    </x:row>
    <x:row r="18" ht="52" customHeight="1">
      <x:c r="A18" s="80" t="str">
        <x:v>user-02__content-10</x:v>
      </x:c>
      <x:c r="B18" s="80" t="str">
        <x:v>user-02</x:v>
      </x:c>
      <x:c r="C18" s="80" t="str">
        <x:v>혼합 전환형</x:v>
      </x:c>
      <x:c r="D18" s="96" t="str">
        <x:v>신규 · 행동 5~9회 혼합 구간</x:v>
      </x:c>
      <x:c r="E18" s="92" t="n">
        <x:v>2</x:v>
      </x:c>
      <x:c r="F18" s="92" t="str">
        <x:v>완료 시제와 수동태 오류 줄이기</x:v>
      </x:c>
      <x:c r="G18" s="83" t="str">
        <x:v>content-10</x:v>
      </x:c>
      <x:c r="H18" s="92" t="str">
        <x:v>과거완료 오답 교정</x:v>
      </x:c>
      <x:c r="I18" s="83" t="str">
        <x:v>퀴즈</x:v>
      </x:c>
      <x:c r="J18" s="83" t="n">
        <x:v>2</x:v>
      </x:c>
      <x:c r="K18" s="83" t="n">
        <x:v>9</x:v>
      </x:c>
      <x:c r="L18" s="83" t="str">
        <x:v>과거완료</x:v>
      </x:c>
      <x:c r="M18" s="110" t="n">
        <x:v>80</x:v>
      </x:c>
      <x:c r="N18" s="107" t="n">
        <x:v>1</x:v>
      </x:c>
      <x:c r="O18" s="107" t="str">
        <x:v>보통</x:v>
      </x:c>
      <x:c r="P18" s="107" t="str">
        <x:v>진단·행동 혼합</x:v>
      </x:c>
      <x:c r="Q18" s="113" t="n">
        <x:v>0.8</x:v>
      </x:c>
      <x:c r="R18" s="113" t="n">
        <x:v>0.8</x:v>
      </x:c>
      <x:c r="S18" s="107" t="n">
        <x:v>5</x:v>
      </x:c>
      <x:c r="T18" s="86" t="str">
        <x:f>'개인적합도'!AE18</x:f>
        <x:v>high</x:v>
      </x:c>
      <x:c r="U18" s="86" t="str">
        <x:v>high</x:v>
      </x:c>
      <x:c r="V18" s="86" t="n">
        <x:f>IF(U18="high",IF(T18="high",3,IF(T18="medium",2,1)),IF(U18="medium",IF(T18="low",1,2),IF(T18="low",0,1)))</x:f>
        <x:v>3</x:v>
      </x:c>
      <x:c r="W18" s="89" t="n">
        <x:v>3</x:v>
      </x:c>
      <x:c r="X18" s="101" t="str">
        <x:v>매트릭스 일치</x:v>
      </x:c>
      <x:c r="Y18" s="101" t="str">
        <x:v>최근 5회 오답률 80%, 누적 80%, 진단 80%로 높은 학습 필요. 과거완료 직접 목표이고 퀴즈 선호 및 레벨이 정확히 맞습니다.</x:v>
      </x:c>
      <x:c r="Z18" s="101" t="str">
        <x:v>일반</x:v>
      </x:c>
      <x:c r="AA18" s="101" t="str">
        <x:v>Codex 초안</x:v>
      </x:c>
      <x:c r="AB18" s="101" t="str"/>
    </x:row>
    <x:row r="19" ht="52" customHeight="1">
      <x:c r="A19" s="80" t="str">
        <x:v>user-02__content-16</x:v>
      </x:c>
      <x:c r="B19" s="80" t="str">
        <x:v>user-02</x:v>
      </x:c>
      <x:c r="C19" s="80" t="str">
        <x:v>혼합 전환형</x:v>
      </x:c>
      <x:c r="D19" s="96" t="str">
        <x:v>신규 · 행동 5~9회 혼합 구간</x:v>
      </x:c>
      <x:c r="E19" s="92" t="n">
        <x:v>2</x:v>
      </x:c>
      <x:c r="F19" s="92" t="str">
        <x:v>완료 시제와 수동태 오류 줄이기</x:v>
      </x:c>
      <x:c r="G19" s="83" t="str">
        <x:v>content-16</x:v>
      </x:c>
      <x:c r="H19" s="92" t="str">
        <x:v>수동태 핵심 퀴즈</x:v>
      </x:c>
      <x:c r="I19" s="83" t="str">
        <x:v>퀴즈</x:v>
      </x:c>
      <x:c r="J19" s="83" t="n">
        <x:v>1</x:v>
      </x:c>
      <x:c r="K19" s="83" t="n">
        <x:v>6</x:v>
      </x:c>
      <x:c r="L19" s="83" t="str">
        <x:v>수동태</x:v>
      </x:c>
      <x:c r="M19" s="110" t="n">
        <x:v>60</x:v>
      </x:c>
      <x:c r="N19" s="107" t="n">
        <x:v>2</x:v>
      </x:c>
      <x:c r="O19" s="107" t="str">
        <x:v>낮음</x:v>
      </x:c>
      <x:c r="P19" s="107" t="str">
        <x:v>진단</x:v>
      </x:c>
      <x:c r="Q19" s="113" t="n">
        <x:v>0.6667000000000001</x:v>
      </x:c>
      <x:c r="R19" s="113" t="n">
        <x:v>0.6667000000000001</x:v>
      </x:c>
      <x:c r="S19" s="107" t="n">
        <x:v>3</x:v>
      </x:c>
      <x:c r="T19" s="86" t="str">
        <x:f>'개인적합도'!AE19</x:f>
        <x:v>high</x:v>
      </x:c>
      <x:c r="U19" s="86" t="str">
        <x:v>medium</x:v>
      </x:c>
      <x:c r="V19" s="86" t="n">
        <x:f>IF(U19="high",IF(T19="high",3,IF(T19="medium",2,1)),IF(U19="medium",IF(T19="low",1,2),IF(T19="low",0,1)))</x:f>
        <x:v>2</x:v>
      </x:c>
      <x:c r="W19" s="89" t="n">
        <x:v>2</x:v>
      </x:c>
      <x:c r="X19" s="101" t="str">
        <x:v>매트릭스 일치</x:v>
      </x:c>
      <x:c r="Y19" s="101" t="str">
        <x:v>최근 3회 오답률 66.67%, 누적 66.67%, 진단 60%로 중간 학습 필요. 수동태 직접 목표와 퀴즈 선호가 맞지만 취약도 신뢰도가 낮아 관련도는 2로 둡니다.</x:v>
      </x:c>
      <x:c r="Z19" s="101" t="str">
        <x:v>우선 검토</x:v>
      </x:c>
      <x:c r="AA19" s="101" t="str">
        <x:v>Codex 초안</x:v>
      </x:c>
      <x:c r="AB19" s="101" t="str"/>
    </x:row>
    <x:row r="20" ht="52" customHeight="1">
      <x:c r="A20" s="80" t="str">
        <x:v>user-02__content-17</x:v>
      </x:c>
      <x:c r="B20" s="80" t="str">
        <x:v>user-02</x:v>
      </x:c>
      <x:c r="C20" s="80" t="str">
        <x:v>혼합 전환형</x:v>
      </x:c>
      <x:c r="D20" s="96" t="str">
        <x:v>신규 · 행동 5~9회 혼합 구간</x:v>
      </x:c>
      <x:c r="E20" s="92" t="n">
        <x:v>2</x:v>
      </x:c>
      <x:c r="F20" s="92" t="str">
        <x:v>완료 시제와 수동태 오류 줄이기</x:v>
      </x:c>
      <x:c r="G20" s="83" t="str">
        <x:v>content-17</x:v>
      </x:c>
      <x:c r="H20" s="92" t="str">
        <x:v>수동태 개념 강의</x:v>
      </x:c>
      <x:c r="I20" s="83" t="str">
        <x:v>영상 강의</x:v>
      </x:c>
      <x:c r="J20" s="83" t="n">
        <x:v>2</x:v>
      </x:c>
      <x:c r="K20" s="83" t="n">
        <x:v>18</x:v>
      </x:c>
      <x:c r="L20" s="83" t="str">
        <x:v>수동태</x:v>
      </x:c>
      <x:c r="M20" s="110" t="n">
        <x:v>60</x:v>
      </x:c>
      <x:c r="N20" s="107" t="n">
        <x:v>2</x:v>
      </x:c>
      <x:c r="O20" s="107" t="str">
        <x:v>낮음</x:v>
      </x:c>
      <x:c r="P20" s="107" t="str">
        <x:v>진단</x:v>
      </x:c>
      <x:c r="Q20" s="113" t="n">
        <x:v>0.6667000000000001</x:v>
      </x:c>
      <x:c r="R20" s="113" t="n">
        <x:v>0.6667000000000001</x:v>
      </x:c>
      <x:c r="S20" s="107" t="n">
        <x:v>3</x:v>
      </x:c>
      <x:c r="T20" s="86" t="str">
        <x:f>'개인적합도'!AE20</x:f>
        <x:v>high</x:v>
      </x:c>
      <x:c r="U20" s="86" t="str">
        <x:v>medium</x:v>
      </x:c>
      <x:c r="V20" s="86" t="n">
        <x:f>IF(U20="high",IF(T20="high",3,IF(T20="medium",2,1)),IF(U20="medium",IF(T20="low",1,2),IF(T20="low",0,1)))</x:f>
        <x:v>2</x:v>
      </x:c>
      <x:c r="W20" s="89" t="n">
        <x:v>2</x:v>
      </x:c>
      <x:c r="X20" s="101" t="str">
        <x:v>매트릭스 일치</x:v>
      </x:c>
      <x:c r="Y20" s="101" t="str">
        <x:v>최근 3회 오답률 66.67%, 누적 66.67%, 진단 60%로 중간 학습 필요. 수동태 직접 목표이고 레벨과 시간이 맞지만 형식 관찰 근거가 적어 보조 우선순위가 적절합니다.</x:v>
      </x:c>
      <x:c r="Z20" s="101" t="str">
        <x:v>우선 검토</x:v>
      </x:c>
      <x:c r="AA20" s="101" t="str">
        <x:v>Codex 초안</x:v>
      </x:c>
      <x:c r="AB20" s="101" t="str"/>
    </x:row>
    <x:row r="21" ht="52" customHeight="1">
      <x:c r="A21" s="80" t="str">
        <x:v>user-02__content-18</x:v>
      </x:c>
      <x:c r="B21" s="80" t="str">
        <x:v>user-02</x:v>
      </x:c>
      <x:c r="C21" s="80" t="str">
        <x:v>혼합 전환형</x:v>
      </x:c>
      <x:c r="D21" s="96" t="str">
        <x:v>신규 · 행동 5~9회 혼합 구간</x:v>
      </x:c>
      <x:c r="E21" s="92" t="n">
        <x:v>2</x:v>
      </x:c>
      <x:c r="F21" s="92" t="str">
        <x:v>완료 시제와 수동태 오류 줄이기</x:v>
      </x:c>
      <x:c r="G21" s="83" t="str">
        <x:v>content-18</x:v>
      </x:c>
      <x:c r="H21" s="92" t="str">
        <x:v>수동태 예문 읽기</x:v>
      </x:c>
      <x:c r="I21" s="83" t="str">
        <x:v>예문 읽기</x:v>
      </x:c>
      <x:c r="J21" s="83" t="n">
        <x:v>2</x:v>
      </x:c>
      <x:c r="K21" s="83" t="n">
        <x:v>12</x:v>
      </x:c>
      <x:c r="L21" s="83" t="str">
        <x:v>수동태</x:v>
      </x:c>
      <x:c r="M21" s="110" t="n">
        <x:v>60</x:v>
      </x:c>
      <x:c r="N21" s="107" t="n">
        <x:v>2</x:v>
      </x:c>
      <x:c r="O21" s="107" t="str">
        <x:v>낮음</x:v>
      </x:c>
      <x:c r="P21" s="107" t="str">
        <x:v>진단</x:v>
      </x:c>
      <x:c r="Q21" s="113" t="n">
        <x:v>0.6667000000000001</x:v>
      </x:c>
      <x:c r="R21" s="113" t="n">
        <x:v>0.6667000000000001</x:v>
      </x:c>
      <x:c r="S21" s="107" t="n">
        <x:v>3</x:v>
      </x:c>
      <x:c r="T21" s="86" t="str">
        <x:f>'개인적합도'!AE21</x:f>
        <x:v>high</x:v>
      </x:c>
      <x:c r="U21" s="86" t="str">
        <x:v>medium</x:v>
      </x:c>
      <x:c r="V21" s="86" t="n">
        <x:f>IF(U21="high",IF(T21="high",3,IF(T21="medium",2,1)),IF(U21="medium",IF(T21="low",1,2),IF(T21="low",0,1)))</x:f>
        <x:v>2</x:v>
      </x:c>
      <x:c r="W21" s="89" t="n">
        <x:v>2</x:v>
      </x:c>
      <x:c r="X21" s="101" t="str">
        <x:v>매트릭스 일치</x:v>
      </x:c>
      <x:c r="Y21" s="101" t="str">
        <x:v>최근 3회 오답률 66.67%, 누적 66.67%, 진단 60%로 중간 학습 필요. 수동태 직접 목표이며 레벨과 시간이 적절하지만 읽기 형식 관찰이 없어 관련도 2로 판단합니다.</x:v>
      </x:c>
      <x:c r="Z21" s="101" t="str">
        <x:v>우선 검토</x:v>
      </x:c>
      <x:c r="AA21" s="101" t="str">
        <x:v>Codex 초안</x:v>
      </x:c>
      <x:c r="AB21" s="101" t="str"/>
    </x:row>
    <x:row r="22" ht="52" customHeight="1">
      <x:c r="A22" s="80" t="str">
        <x:v>user-02__content-20</x:v>
      </x:c>
      <x:c r="B22" s="80" t="str">
        <x:v>user-02</x:v>
      </x:c>
      <x:c r="C22" s="80" t="str">
        <x:v>혼합 전환형</x:v>
      </x:c>
      <x:c r="D22" s="96" t="str">
        <x:v>신규 · 행동 5~9회 혼합 구간</x:v>
      </x:c>
      <x:c r="E22" s="92" t="n">
        <x:v>2</x:v>
      </x:c>
      <x:c r="F22" s="92" t="str">
        <x:v>완료 시제와 수동태 오류 줄이기</x:v>
      </x:c>
      <x:c r="G22" s="83" t="str">
        <x:v>content-20</x:v>
      </x:c>
      <x:c r="H22" s="92" t="str">
        <x:v>수동태 오답 교정</x:v>
      </x:c>
      <x:c r="I22" s="83" t="str">
        <x:v>퀴즈</x:v>
      </x:c>
      <x:c r="J22" s="83" t="n">
        <x:v>2</x:v>
      </x:c>
      <x:c r="K22" s="83" t="n">
        <x:v>9</x:v>
      </x:c>
      <x:c r="L22" s="83" t="str">
        <x:v>수동태</x:v>
      </x:c>
      <x:c r="M22" s="110" t="n">
        <x:v>60</x:v>
      </x:c>
      <x:c r="N22" s="107" t="n">
        <x:v>2</x:v>
      </x:c>
      <x:c r="O22" s="107" t="str">
        <x:v>낮음</x:v>
      </x:c>
      <x:c r="P22" s="107" t="str">
        <x:v>진단</x:v>
      </x:c>
      <x:c r="Q22" s="113" t="n">
        <x:v>0.6667000000000001</x:v>
      </x:c>
      <x:c r="R22" s="113" t="n">
        <x:v>0.6667000000000001</x:v>
      </x:c>
      <x:c r="S22" s="107" t="n">
        <x:v>3</x:v>
      </x:c>
      <x:c r="T22" s="86" t="str">
        <x:f>'개인적합도'!AE22</x:f>
        <x:v>high</x:v>
      </x:c>
      <x:c r="U22" s="86" t="str">
        <x:v>medium</x:v>
      </x:c>
      <x:c r="V22" s="86" t="n">
        <x:f>IF(U22="high",IF(T22="high",3,IF(T22="medium",2,1)),IF(U22="medium",IF(T22="low",1,2),IF(T22="low",0,1)))</x:f>
        <x:v>2</x:v>
      </x:c>
      <x:c r="W22" s="89" t="n">
        <x:v>2</x:v>
      </x:c>
      <x:c r="X22" s="101" t="str">
        <x:v>매트릭스 일치</x:v>
      </x:c>
      <x:c r="Y22" s="101" t="str">
        <x:v>최근 3회 오답률 66.67%, 누적 66.67%, 진단 60%로 중간 학습 필요. 수동태 직접 목표이고 퀴즈 선호와 레벨이 맞지만 취약 근거의 신뢰도가 낮습니다.</x:v>
      </x:c>
      <x:c r="Z22" s="101" t="str">
        <x:v>우선 검토</x:v>
      </x:c>
      <x:c r="AA22" s="101" t="str">
        <x:v>Codex 초안</x:v>
      </x:c>
      <x:c r="AB22" s="101" t="str"/>
    </x:row>
    <x:row r="23" ht="52" customHeight="1">
      <x:c r="A23" s="80" t="str">
        <x:v>user-02__content-26</x:v>
      </x:c>
      <x:c r="B23" s="80" t="str">
        <x:v>user-02</x:v>
      </x:c>
      <x:c r="C23" s="80" t="str">
        <x:v>혼합 전환형</x:v>
      </x:c>
      <x:c r="D23" s="96" t="str">
        <x:v>신규 · 행동 5~9회 혼합 구간</x:v>
      </x:c>
      <x:c r="E23" s="92" t="n">
        <x:v>2</x:v>
      </x:c>
      <x:c r="F23" s="92" t="str">
        <x:v>완료 시제와 수동태 오류 줄이기</x:v>
      </x:c>
      <x:c r="G23" s="83" t="str">
        <x:v>content-26</x:v>
      </x:c>
      <x:c r="H23" s="92" t="str">
        <x:v>가정법 핵심 퀴즈</x:v>
      </x:c>
      <x:c r="I23" s="83" t="str">
        <x:v>퀴즈</x:v>
      </x:c>
      <x:c r="J23" s="83" t="n">
        <x:v>1</x:v>
      </x:c>
      <x:c r="K23" s="83" t="n">
        <x:v>6</x:v>
      </x:c>
      <x:c r="L23" s="83" t="str">
        <x:v>가정법</x:v>
      </x:c>
      <x:c r="M23" s="110" t="n">
        <x:v>40</x:v>
      </x:c>
      <x:c r="N23" s="107" t="n">
        <x:v>3</x:v>
      </x:c>
      <x:c r="O23" s="107" t="str">
        <x:v>낮음</x:v>
      </x:c>
      <x:c r="P23" s="107" t="str">
        <x:v>진단</x:v>
      </x:c>
      <x:c r="Q23" s="113"/>
      <x:c r="R23" s="113"/>
      <x:c r="S23" s="107" t="n">
        <x:v>0</x:v>
      </x:c>
      <x:c r="T23" s="86" t="str">
        <x:f>'개인적합도'!AE23</x:f>
        <x:v>medium</x:v>
      </x:c>
      <x:c r="U23" s="86" t="str">
        <x:v>medium</x:v>
      </x:c>
      <x:c r="V23" s="86" t="n">
        <x:f>IF(U23="high",IF(T23="high",3,IF(T23="medium",2,1)),IF(U23="medium",IF(T23="low",1,2),IF(T23="low",0,1)))</x:f>
        <x:v>2</x:v>
      </x:c>
      <x:c r="W23" s="89" t="n">
        <x:v>1</x:v>
      </x:c>
      <x:c r="X23" s="101" t="str">
        <x:v>2 → 1 정성 조정</x:v>
      </x:c>
      <x:c r="Y23" s="101" t="str">
        <x:v>최근 0회 오답률 N/A%, 누적 N/A%, 진단 40%로 중간 학습 필요. 가정법은 명시 목표 밖이나 퀴즈 선호와 일반 문법 목표에는 일부 부합합니다.</x:v>
      </x:c>
      <x:c r="Z23" s="101" t="str">
        <x:v>우선 검토</x:v>
      </x:c>
      <x:c r="AA23" s="101" t="str">
        <x:v>Codex 초안</x:v>
      </x:c>
      <x:c r="AB23" s="101" t="str"/>
    </x:row>
    <x:row r="24" ht="52" customHeight="1">
      <x:c r="A24" s="80" t="str">
        <x:v>user-02__content-27</x:v>
      </x:c>
      <x:c r="B24" s="80" t="str">
        <x:v>user-02</x:v>
      </x:c>
      <x:c r="C24" s="80" t="str">
        <x:v>혼합 전환형</x:v>
      </x:c>
      <x:c r="D24" s="96" t="str">
        <x:v>신규 · 행동 5~9회 혼합 구간</x:v>
      </x:c>
      <x:c r="E24" s="92" t="n">
        <x:v>2</x:v>
      </x:c>
      <x:c r="F24" s="92" t="str">
        <x:v>완료 시제와 수동태 오류 줄이기</x:v>
      </x:c>
      <x:c r="G24" s="83" t="str">
        <x:v>content-27</x:v>
      </x:c>
      <x:c r="H24" s="92" t="str">
        <x:v>가정법 개념 강의</x:v>
      </x:c>
      <x:c r="I24" s="83" t="str">
        <x:v>영상 강의</x:v>
      </x:c>
      <x:c r="J24" s="83" t="n">
        <x:v>2</x:v>
      </x:c>
      <x:c r="K24" s="83" t="n">
        <x:v>18</x:v>
      </x:c>
      <x:c r="L24" s="83" t="str">
        <x:v>가정법</x:v>
      </x:c>
      <x:c r="M24" s="110" t="n">
        <x:v>40</x:v>
      </x:c>
      <x:c r="N24" s="107" t="n">
        <x:v>3</x:v>
      </x:c>
      <x:c r="O24" s="107" t="str">
        <x:v>낮음</x:v>
      </x:c>
      <x:c r="P24" s="107" t="str">
        <x:v>진단</x:v>
      </x:c>
      <x:c r="Q24" s="113"/>
      <x:c r="R24" s="113"/>
      <x:c r="S24" s="107" t="n">
        <x:v>0</x:v>
      </x:c>
      <x:c r="T24" s="86" t="str">
        <x:f>'개인적합도'!AE24</x:f>
        <x:v>medium</x:v>
      </x:c>
      <x:c r="U24" s="86" t="str">
        <x:v>medium</x:v>
      </x:c>
      <x:c r="V24" s="86" t="n">
        <x:f>IF(U24="high",IF(T24="high",3,IF(T24="medium",2,1)),IF(U24="medium",IF(T24="low",1,2),IF(T24="low",0,1)))</x:f>
        <x:v>2</x:v>
      </x:c>
      <x:c r="W24" s="89" t="n">
        <x:v>1</x:v>
      </x:c>
      <x:c r="X24" s="101" t="str">
        <x:v>2 → 1 정성 조정</x:v>
      </x:c>
      <x:c r="Y24" s="101" t="str">
        <x:v>최근 0회 오답률 N/A%, 누적 N/A%, 진단 40%로 중간 학습 필요. 가정법은 명시 목표 밖이지만 레벨과 시간은 맞고 일부 취약 근거가 있어 후순위 후보입니다.</x:v>
      </x:c>
      <x:c r="Z24" s="101" t="str">
        <x:v>우선 검토</x:v>
      </x:c>
      <x:c r="AA24" s="101" t="str">
        <x:v>Codex 초안</x:v>
      </x:c>
      <x:c r="AB24" s="101" t="str"/>
    </x:row>
    <x:row r="25" ht="52" customHeight="1">
      <x:c r="A25" s="80" t="str">
        <x:v>user-03__content-31</x:v>
      </x:c>
      <x:c r="B25" s="80" t="str">
        <x:v>user-03</x:v>
      </x:c>
      <x:c r="C25" s="80" t="str">
        <x:v>행동 중심형</x:v>
      </x:c>
      <x:c r="D25" s="96" t="str">
        <x:v>신규 · 10회 이상 행동 중심</x:v>
      </x:c>
      <x:c r="E25" s="92" t="n">
        <x:v>2</x:v>
      </x:c>
      <x:c r="F25" s="92" t="str">
        <x:v>문맥 어휘와 독해 추론 강화</x:v>
      </x:c>
      <x:c r="G25" s="83" t="str">
        <x:v>content-31</x:v>
      </x:c>
      <x:c r="H25" s="92" t="str">
        <x:v>문맥 어휘 핵심 퀴즈</x:v>
      </x:c>
      <x:c r="I25" s="83" t="str">
        <x:v>퀴즈</x:v>
      </x:c>
      <x:c r="J25" s="83" t="n">
        <x:v>1</x:v>
      </x:c>
      <x:c r="K25" s="83" t="n">
        <x:v>6</x:v>
      </x:c>
      <x:c r="L25" s="83" t="str">
        <x:v>문맥 어휘</x:v>
      </x:c>
      <x:c r="M25" s="110" t="n">
        <x:v>77</x:v>
      </x:c>
      <x:c r="N25" s="107" t="n">
        <x:v>1</x:v>
      </x:c>
      <x:c r="O25" s="107" t="str">
        <x:v>높음</x:v>
      </x:c>
      <x:c r="P25" s="107" t="str">
        <x:v>행동</x:v>
      </x:c>
      <x:c r="Q25" s="113" t="n">
        <x:v>0.8</x:v>
      </x:c>
      <x:c r="R25" s="113" t="n">
        <x:v>0.7</x:v>
      </x:c>
      <x:c r="S25" s="107" t="n">
        <x:v>10</x:v>
      </x:c>
      <x:c r="T25" s="86" t="str">
        <x:f>'개인적합도'!AE25</x:f>
        <x:v>medium</x:v>
      </x:c>
      <x:c r="U25" s="86" t="str">
        <x:v>high</x:v>
      </x:c>
      <x:c r="V25" s="86" t="n">
        <x:f>IF(U25="high",IF(T25="high",3,IF(T25="medium",2,1)),IF(U25="medium",IF(T25="low",1,2),IF(T25="low",0,1)))</x:f>
        <x:v>2</x:v>
      </x:c>
      <x:c r="W25" s="89" t="n">
        <x:v>2</x:v>
      </x:c>
      <x:c r="X25" s="101" t="str">
        <x:v>매트릭스 일치</x:v>
      </x:c>
      <x:c r="Y25" s="101" t="str">
        <x:v>최근 5회 오답률 80%, 누적 70%, 진단 75%로 높은 학습 필요. 문맥 어휘는 직접 목표이나 퀴즈가 선호 유형이 아니고 레벨이 낮아 관련도 2가 적절합니다.</x:v>
      </x:c>
      <x:c r="Z25" s="101" t="str">
        <x:v>우선 검토</x:v>
      </x:c>
      <x:c r="AA25" s="101" t="str">
        <x:v>Codex 초안</x:v>
      </x:c>
      <x:c r="AB25" s="101" t="str"/>
    </x:row>
    <x:row r="26" ht="52" customHeight="1">
      <x:c r="A26" s="80" t="str">
        <x:v>user-03__content-32</x:v>
      </x:c>
      <x:c r="B26" s="80" t="str">
        <x:v>user-03</x:v>
      </x:c>
      <x:c r="C26" s="80" t="str">
        <x:v>행동 중심형</x:v>
      </x:c>
      <x:c r="D26" s="96" t="str">
        <x:v>신규 · 10회 이상 행동 중심</x:v>
      </x:c>
      <x:c r="E26" s="92" t="n">
        <x:v>2</x:v>
      </x:c>
      <x:c r="F26" s="92" t="str">
        <x:v>문맥 어휘와 독해 추론 강화</x:v>
      </x:c>
      <x:c r="G26" s="83" t="str">
        <x:v>content-32</x:v>
      </x:c>
      <x:c r="H26" s="92" t="str">
        <x:v>문맥 어휘 개념 강의</x:v>
      </x:c>
      <x:c r="I26" s="83" t="str">
        <x:v>영상 강의</x:v>
      </x:c>
      <x:c r="J26" s="83" t="n">
        <x:v>2</x:v>
      </x:c>
      <x:c r="K26" s="83" t="n">
        <x:v>18</x:v>
      </x:c>
      <x:c r="L26" s="83" t="str">
        <x:v>문맥 어휘</x:v>
      </x:c>
      <x:c r="M26" s="110" t="n">
        <x:v>77</x:v>
      </x:c>
      <x:c r="N26" s="107" t="n">
        <x:v>1</x:v>
      </x:c>
      <x:c r="O26" s="107" t="str">
        <x:v>높음</x:v>
      </x:c>
      <x:c r="P26" s="107" t="str">
        <x:v>행동</x:v>
      </x:c>
      <x:c r="Q26" s="113" t="n">
        <x:v>0.8</x:v>
      </x:c>
      <x:c r="R26" s="113" t="n">
        <x:v>0.7</x:v>
      </x:c>
      <x:c r="S26" s="107" t="n">
        <x:v>10</x:v>
      </x:c>
      <x:c r="T26" s="86" t="str">
        <x:f>'개인적합도'!AE26</x:f>
        <x:v>high</x:v>
      </x:c>
      <x:c r="U26" s="86" t="str">
        <x:v>high</x:v>
      </x:c>
      <x:c r="V26" s="86" t="n">
        <x:f>IF(U26="high",IF(T26="high",3,IF(T26="medium",2,1)),IF(U26="medium",IF(T26="low",1,2),IF(T26="low",0,1)))</x:f>
        <x:v>3</x:v>
      </x:c>
      <x:c r="W26" s="89" t="n">
        <x:v>3</x:v>
      </x:c>
      <x:c r="X26" s="101" t="str">
        <x:v>매트릭스 일치</x:v>
      </x:c>
      <x:c r="Y26" s="101" t="str">
        <x:v>최근 5회 오답률 80%, 누적 70%, 진단 75%로 높은 학습 필요. 문맥 어휘 직접 목표, 선호 영상, 정확한 레벨이 모두 맞습니다.</x:v>
      </x:c>
      <x:c r="Z26" s="101" t="str">
        <x:v>일반</x:v>
      </x:c>
      <x:c r="AA26" s="101" t="str">
        <x:v>Codex 초안</x:v>
      </x:c>
      <x:c r="AB26" s="101" t="str"/>
    </x:row>
    <x:row r="27" ht="52" customHeight="1">
      <x:c r="A27" s="80" t="str">
        <x:v>user-03__content-33</x:v>
      </x:c>
      <x:c r="B27" s="80" t="str">
        <x:v>user-03</x:v>
      </x:c>
      <x:c r="C27" s="80" t="str">
        <x:v>행동 중심형</x:v>
      </x:c>
      <x:c r="D27" s="96" t="str">
        <x:v>신규 · 10회 이상 행동 중심</x:v>
      </x:c>
      <x:c r="E27" s="92" t="n">
        <x:v>2</x:v>
      </x:c>
      <x:c r="F27" s="92" t="str">
        <x:v>문맥 어휘와 독해 추론 강화</x:v>
      </x:c>
      <x:c r="G27" s="83" t="str">
        <x:v>content-33</x:v>
      </x:c>
      <x:c r="H27" s="92" t="str">
        <x:v>문맥 어휘 예문 읽기</x:v>
      </x:c>
      <x:c r="I27" s="83" t="str">
        <x:v>예문 읽기</x:v>
      </x:c>
      <x:c r="J27" s="83" t="n">
        <x:v>2</x:v>
      </x:c>
      <x:c r="K27" s="83" t="n">
        <x:v>12</x:v>
      </x:c>
      <x:c r="L27" s="83" t="str">
        <x:v>문맥 어휘</x:v>
      </x:c>
      <x:c r="M27" s="110" t="n">
        <x:v>77</x:v>
      </x:c>
      <x:c r="N27" s="107" t="n">
        <x:v>1</x:v>
      </x:c>
      <x:c r="O27" s="107" t="str">
        <x:v>높음</x:v>
      </x:c>
      <x:c r="P27" s="107" t="str">
        <x:v>행동</x:v>
      </x:c>
      <x:c r="Q27" s="113" t="n">
        <x:v>0.8</x:v>
      </x:c>
      <x:c r="R27" s="113" t="n">
        <x:v>0.7</x:v>
      </x:c>
      <x:c r="S27" s="107" t="n">
        <x:v>10</x:v>
      </x:c>
      <x:c r="T27" s="86" t="str">
        <x:f>'개인적합도'!AE27</x:f>
        <x:v>high</x:v>
      </x:c>
      <x:c r="U27" s="86" t="str">
        <x:v>high</x:v>
      </x:c>
      <x:c r="V27" s="86" t="n">
        <x:f>IF(U27="high",IF(T27="high",3,IF(T27="medium",2,1)),IF(U27="medium",IF(T27="low",1,2),IF(T27="low",0,1)))</x:f>
        <x:v>3</x:v>
      </x:c>
      <x:c r="W27" s="89" t="n">
        <x:v>3</x:v>
      </x:c>
      <x:c r="X27" s="101" t="str">
        <x:v>매트릭스 일치</x:v>
      </x:c>
      <x:c r="Y27" s="101" t="str">
        <x:v>최근 5회 오답률 80%, 누적 70%, 진단 75%로 높은 학습 필요. 문맥 어휘 직접 목표이며 최우선 읽기 선호, 시간과 레벨이 정확히 맞습니다.</x:v>
      </x:c>
      <x:c r="Z27" s="101" t="str">
        <x:v>일반</x:v>
      </x:c>
      <x:c r="AA27" s="101" t="str">
        <x:v>Codex 초안</x:v>
      </x:c>
      <x:c r="AB27" s="101" t="str"/>
    </x:row>
    <x:row r="28" ht="52" customHeight="1">
      <x:c r="A28" s="80" t="str">
        <x:v>user-03__content-35</x:v>
      </x:c>
      <x:c r="B28" s="80" t="str">
        <x:v>user-03</x:v>
      </x:c>
      <x:c r="C28" s="80" t="str">
        <x:v>행동 중심형</x:v>
      </x:c>
      <x:c r="D28" s="96" t="str">
        <x:v>신규 · 10회 이상 행동 중심</x:v>
      </x:c>
      <x:c r="E28" s="92" t="n">
        <x:v>2</x:v>
      </x:c>
      <x:c r="F28" s="92" t="str">
        <x:v>문맥 어휘와 독해 추론 강화</x:v>
      </x:c>
      <x:c r="G28" s="83" t="str">
        <x:v>content-35</x:v>
      </x:c>
      <x:c r="H28" s="92" t="str">
        <x:v>문맥 어휘 오답 교정</x:v>
      </x:c>
      <x:c r="I28" s="83" t="str">
        <x:v>퀴즈</x:v>
      </x:c>
      <x:c r="J28" s="83" t="n">
        <x:v>2</x:v>
      </x:c>
      <x:c r="K28" s="83" t="n">
        <x:v>9</x:v>
      </x:c>
      <x:c r="L28" s="83" t="str">
        <x:v>문맥 어휘</x:v>
      </x:c>
      <x:c r="M28" s="110" t="n">
        <x:v>77</x:v>
      </x:c>
      <x:c r="N28" s="107" t="n">
        <x:v>1</x:v>
      </x:c>
      <x:c r="O28" s="107" t="str">
        <x:v>높음</x:v>
      </x:c>
      <x:c r="P28" s="107" t="str">
        <x:v>행동</x:v>
      </x:c>
      <x:c r="Q28" s="113" t="n">
        <x:v>0.8</x:v>
      </x:c>
      <x:c r="R28" s="113" t="n">
        <x:v>0.7</x:v>
      </x:c>
      <x:c r="S28" s="107" t="n">
        <x:v>10</x:v>
      </x:c>
      <x:c r="T28" s="86" t="str">
        <x:f>'개인적합도'!AE28</x:f>
        <x:v>medium</x:v>
      </x:c>
      <x:c r="U28" s="86" t="str">
        <x:v>high</x:v>
      </x:c>
      <x:c r="V28" s="86" t="n">
        <x:f>IF(U28="high",IF(T28="high",3,IF(T28="medium",2,1)),IF(U28="medium",IF(T28="low",1,2),IF(T28="low",0,1)))</x:f>
        <x:v>2</x:v>
      </x:c>
      <x:c r="W28" s="89" t="n">
        <x:v>2</x:v>
      </x:c>
      <x:c r="X28" s="101" t="str">
        <x:v>매트릭스 일치</x:v>
      </x:c>
      <x:c r="Y28" s="101" t="str">
        <x:v>최근 5회 오답률 80%, 누적 70%, 진단 75%로 높은 학습 필요. 문맥 어휘 직접 목표이나 퀴즈가 선호 유형이 아니어서 추천 가능 수준으로 둡니다.</x:v>
      </x:c>
      <x:c r="Z28" s="101" t="str">
        <x:v>우선 검토</x:v>
      </x:c>
      <x:c r="AA28" s="101" t="str">
        <x:v>Codex 초안</x:v>
      </x:c>
      <x:c r="AB28" s="101" t="str"/>
    </x:row>
    <x:row r="29" ht="52" customHeight="1">
      <x:c r="A29" s="80" t="str">
        <x:v>user-03__content-36</x:v>
      </x:c>
      <x:c r="B29" s="80" t="str">
        <x:v>user-03</x:v>
      </x:c>
      <x:c r="C29" s="80" t="str">
        <x:v>행동 중심형</x:v>
      </x:c>
      <x:c r="D29" s="96" t="str">
        <x:v>신규 · 10회 이상 행동 중심</x:v>
      </x:c>
      <x:c r="E29" s="92" t="n">
        <x:v>2</x:v>
      </x:c>
      <x:c r="F29" s="92" t="str">
        <x:v>문맥 어휘와 독해 추론 강화</x:v>
      </x:c>
      <x:c r="G29" s="83" t="str">
        <x:v>content-36</x:v>
      </x:c>
      <x:c r="H29" s="92" t="str">
        <x:v>독해 추론 핵심 퀴즈</x:v>
      </x:c>
      <x:c r="I29" s="83" t="str">
        <x:v>퀴즈</x:v>
      </x:c>
      <x:c r="J29" s="83" t="n">
        <x:v>1</x:v>
      </x:c>
      <x:c r="K29" s="83" t="n">
        <x:v>6</x:v>
      </x:c>
      <x:c r="L29" s="83" t="str">
        <x:v>독해 추론</x:v>
      </x:c>
      <x:c r="M29" s="110" t="n">
        <x:v>57</x:v>
      </x:c>
      <x:c r="N29" s="107" t="n">
        <x:v>2</x:v>
      </x:c>
      <x:c r="O29" s="107" t="str">
        <x:v>높음</x:v>
      </x:c>
      <x:c r="P29" s="107" t="str">
        <x:v>행동</x:v>
      </x:c>
      <x:c r="Q29" s="113" t="n">
        <x:v>0.6</x:v>
      </x:c>
      <x:c r="R29" s="113" t="n">
        <x:v>0.5</x:v>
      </x:c>
      <x:c r="S29" s="107" t="n">
        <x:v>10</x:v>
      </x:c>
      <x:c r="T29" s="86" t="str">
        <x:f>'개인적합도'!AE29</x:f>
        <x:v>medium</x:v>
      </x:c>
      <x:c r="U29" s="86" t="str">
        <x:v>medium</x:v>
      </x:c>
      <x:c r="V29" s="86" t="n">
        <x:f>IF(U29="high",IF(T29="high",3,IF(T29="medium",2,1)),IF(U29="medium",IF(T29="low",1,2),IF(T29="low",0,1)))</x:f>
        <x:v>2</x:v>
      </x:c>
      <x:c r="W29" s="89" t="n">
        <x:v>2</x:v>
      </x:c>
      <x:c r="X29" s="101" t="str">
        <x:v>매트릭스 일치</x:v>
      </x:c>
      <x:c r="Y29" s="101" t="str">
        <x:v>최근 5회 오답률 60%, 누적 50%, 진단 50%로 중간 학습 필요. 독해 추론 직접 목표이나 퀴즈 비선호와 낮은 레벨을 고려해 관련도 2로 판단합니다.</x:v>
      </x:c>
      <x:c r="Z29" s="101" t="str">
        <x:v>우선 검토</x:v>
      </x:c>
      <x:c r="AA29" s="101" t="str">
        <x:v>Codex 초안</x:v>
      </x:c>
      <x:c r="AB29" s="101" t="str"/>
    </x:row>
    <x:row r="30" ht="52" customHeight="1">
      <x:c r="A30" s="80" t="str">
        <x:v>user-03__content-37</x:v>
      </x:c>
      <x:c r="B30" s="80" t="str">
        <x:v>user-03</x:v>
      </x:c>
      <x:c r="C30" s="80" t="str">
        <x:v>행동 중심형</x:v>
      </x:c>
      <x:c r="D30" s="96" t="str">
        <x:v>신규 · 10회 이상 행동 중심</x:v>
      </x:c>
      <x:c r="E30" s="92" t="n">
        <x:v>2</x:v>
      </x:c>
      <x:c r="F30" s="92" t="str">
        <x:v>문맥 어휘와 독해 추론 강화</x:v>
      </x:c>
      <x:c r="G30" s="83" t="str">
        <x:v>content-37</x:v>
      </x:c>
      <x:c r="H30" s="92" t="str">
        <x:v>독해 추론 개념 강의</x:v>
      </x:c>
      <x:c r="I30" s="83" t="str">
        <x:v>영상 강의</x:v>
      </x:c>
      <x:c r="J30" s="83" t="n">
        <x:v>2</x:v>
      </x:c>
      <x:c r="K30" s="83" t="n">
        <x:v>18</x:v>
      </x:c>
      <x:c r="L30" s="83" t="str">
        <x:v>독해 추론</x:v>
      </x:c>
      <x:c r="M30" s="110" t="n">
        <x:v>57</x:v>
      </x:c>
      <x:c r="N30" s="107" t="n">
        <x:v>2</x:v>
      </x:c>
      <x:c r="O30" s="107" t="str">
        <x:v>높음</x:v>
      </x:c>
      <x:c r="P30" s="107" t="str">
        <x:v>행동</x:v>
      </x:c>
      <x:c r="Q30" s="113" t="n">
        <x:v>0.6</x:v>
      </x:c>
      <x:c r="R30" s="113" t="n">
        <x:v>0.5</x:v>
      </x:c>
      <x:c r="S30" s="107" t="n">
        <x:v>10</x:v>
      </x:c>
      <x:c r="T30" s="86" t="str">
        <x:f>'개인적합도'!AE30</x:f>
        <x:v>high</x:v>
      </x:c>
      <x:c r="U30" s="86" t="str">
        <x:v>medium</x:v>
      </x:c>
      <x:c r="V30" s="86" t="n">
        <x:f>IF(U30="high",IF(T30="high",3,IF(T30="medium",2,1)),IF(U30="medium",IF(T30="low",1,2),IF(T30="low",0,1)))</x:f>
        <x:v>2</x:v>
      </x:c>
      <x:c r="W30" s="89" t="n">
        <x:v>2</x:v>
      </x:c>
      <x:c r="X30" s="101" t="str">
        <x:v>매트릭스 일치</x:v>
      </x:c>
      <x:c r="Y30" s="101" t="str">
        <x:v>최근 5회 오답률 60%, 누적 50%, 진단 50%로 중간 학습 필요. 독해 추론 직접 목표와 영상 선호가 맞지만 문맥 어휘보다 학습 필요도가 낮습니다.</x:v>
      </x:c>
      <x:c r="Z30" s="101" t="str">
        <x:v>일반</x:v>
      </x:c>
      <x:c r="AA30" s="101" t="str">
        <x:v>Codex 초안</x:v>
      </x:c>
      <x:c r="AB30" s="101" t="str"/>
    </x:row>
    <x:row r="31" ht="52" customHeight="1">
      <x:c r="A31" s="80" t="str">
        <x:v>user-03__content-38</x:v>
      </x:c>
      <x:c r="B31" s="80" t="str">
        <x:v>user-03</x:v>
      </x:c>
      <x:c r="C31" s="80" t="str">
        <x:v>행동 중심형</x:v>
      </x:c>
      <x:c r="D31" s="96" t="str">
        <x:v>신규 · 10회 이상 행동 중심</x:v>
      </x:c>
      <x:c r="E31" s="92" t="n">
        <x:v>2</x:v>
      </x:c>
      <x:c r="F31" s="92" t="str">
        <x:v>문맥 어휘와 독해 추론 강화</x:v>
      </x:c>
      <x:c r="G31" s="83" t="str">
        <x:v>content-38</x:v>
      </x:c>
      <x:c r="H31" s="92" t="str">
        <x:v>독해 추론 예문 읽기</x:v>
      </x:c>
      <x:c r="I31" s="83" t="str">
        <x:v>예문 읽기</x:v>
      </x:c>
      <x:c r="J31" s="83" t="n">
        <x:v>2</x:v>
      </x:c>
      <x:c r="K31" s="83" t="n">
        <x:v>12</x:v>
      </x:c>
      <x:c r="L31" s="83" t="str">
        <x:v>독해 추론</x:v>
      </x:c>
      <x:c r="M31" s="110" t="n">
        <x:v>57</x:v>
      </x:c>
      <x:c r="N31" s="107" t="n">
        <x:v>2</x:v>
      </x:c>
      <x:c r="O31" s="107" t="str">
        <x:v>높음</x:v>
      </x:c>
      <x:c r="P31" s="107" t="str">
        <x:v>행동</x:v>
      </x:c>
      <x:c r="Q31" s="113" t="n">
        <x:v>0.6</x:v>
      </x:c>
      <x:c r="R31" s="113" t="n">
        <x:v>0.5</x:v>
      </x:c>
      <x:c r="S31" s="107" t="n">
        <x:v>10</x:v>
      </x:c>
      <x:c r="T31" s="86" t="str">
        <x:f>'개인적합도'!AE31</x:f>
        <x:v>high</x:v>
      </x:c>
      <x:c r="U31" s="86" t="str">
        <x:v>medium</x:v>
      </x:c>
      <x:c r="V31" s="86" t="n">
        <x:f>IF(U31="high",IF(T31="high",3,IF(T31="medium",2,1)),IF(U31="medium",IF(T31="low",1,2),IF(T31="low",0,1)))</x:f>
        <x:v>2</x:v>
      </x:c>
      <x:c r="W31" s="89" t="n">
        <x:v>3</x:v>
      </x:c>
      <x:c r="X31" s="101" t="str">
        <x:v>2 → 3 정성 조정</x:v>
      </x:c>
      <x:c r="Y31" s="101" t="str">
        <x:v>최근 5회 오답률 60%, 누적 50%, 진단 50%로 중간 학습 필요. 독해 추론 직접 목표, 최우선 읽기 선호, 시간과 레벨이 모두 정확히 맞습니다.</x:v>
      </x:c>
      <x:c r="Z31" s="101" t="str">
        <x:v>우선 검토</x:v>
      </x:c>
      <x:c r="AA31" s="101" t="str">
        <x:v>Codex 초안</x:v>
      </x:c>
      <x:c r="AB31" s="101" t="str"/>
    </x:row>
    <x:row r="32" ht="52" customHeight="1">
      <x:c r="A32" s="80" t="str">
        <x:v>user-03__content-39</x:v>
      </x:c>
      <x:c r="B32" s="80" t="str">
        <x:v>user-03</x:v>
      </x:c>
      <x:c r="C32" s="80" t="str">
        <x:v>행동 중심형</x:v>
      </x:c>
      <x:c r="D32" s="96" t="str">
        <x:v>신규 · 10회 이상 행동 중심</x:v>
      </x:c>
      <x:c r="E32" s="92" t="n">
        <x:v>2</x:v>
      </x:c>
      <x:c r="F32" s="92" t="str">
        <x:v>문맥 어휘와 독해 추론 강화</x:v>
      </x:c>
      <x:c r="G32" s="83" t="str">
        <x:v>content-39</x:v>
      </x:c>
      <x:c r="H32" s="92" t="str">
        <x:v>독해 추론 심화 문제</x:v>
      </x:c>
      <x:c r="I32" s="83" t="str">
        <x:v>심화 문제</x:v>
      </x:c>
      <x:c r="J32" s="83" t="n">
        <x:v>3</x:v>
      </x:c>
      <x:c r="K32" s="83" t="n">
        <x:v>22</x:v>
      </x:c>
      <x:c r="L32" s="83" t="str">
        <x:v>독해 추론</x:v>
      </x:c>
      <x:c r="M32" s="110" t="n">
        <x:v>57</x:v>
      </x:c>
      <x:c r="N32" s="107" t="n">
        <x:v>2</x:v>
      </x:c>
      <x:c r="O32" s="107" t="str">
        <x:v>높음</x:v>
      </x:c>
      <x:c r="P32" s="107" t="str">
        <x:v>행동</x:v>
      </x:c>
      <x:c r="Q32" s="113" t="n">
        <x:v>0.6</x:v>
      </x:c>
      <x:c r="R32" s="113" t="n">
        <x:v>0.5</x:v>
      </x:c>
      <x:c r="S32" s="107" t="n">
        <x:v>10</x:v>
      </x:c>
      <x:c r="T32" s="86" t="str">
        <x:f>'개인적합도'!AE32</x:f>
        <x:v>medium</x:v>
      </x:c>
      <x:c r="U32" s="86" t="str">
        <x:v>medium</x:v>
      </x:c>
      <x:c r="V32" s="86" t="n">
        <x:f>IF(U32="high",IF(T32="high",3,IF(T32="medium",2,1)),IF(U32="medium",IF(T32="low",1,2),IF(T32="low",0,1)))</x:f>
        <x:v>2</x:v>
      </x:c>
      <x:c r="W32" s="89" t="n">
        <x:v>1</x:v>
      </x:c>
      <x:c r="X32" s="101" t="str">
        <x:v>2 → 1 정성 조정</x:v>
      </x:c>
      <x:c r="Y32" s="101" t="str">
        <x:v>최근 5회 오답률 60%, 누적 50%, 진단 50%로 중간 학습 필요. 독해 추론 목표에는 맞지만 비선호 문제풀이, 긴 시간, 높은 난이도가 겹칩니다.</x:v>
      </x:c>
      <x:c r="Z32" s="101" t="str">
        <x:v>우선 검토</x:v>
      </x:c>
      <x:c r="AA32" s="101" t="str">
        <x:v>Codex 초안</x:v>
      </x:c>
      <x:c r="AB32" s="101" t="str"/>
    </x:row>
    <x:row r="33" ht="52" customHeight="1">
      <x:c r="A33" s="80" t="str">
        <x:v>user-03__content-40</x:v>
      </x:c>
      <x:c r="B33" s="80" t="str">
        <x:v>user-03</x:v>
      </x:c>
      <x:c r="C33" s="80" t="str">
        <x:v>행동 중심형</x:v>
      </x:c>
      <x:c r="D33" s="96" t="str">
        <x:v>신규 · 10회 이상 행동 중심</x:v>
      </x:c>
      <x:c r="E33" s="92" t="n">
        <x:v>2</x:v>
      </x:c>
      <x:c r="F33" s="92" t="str">
        <x:v>문맥 어휘와 독해 추론 강화</x:v>
      </x:c>
      <x:c r="G33" s="83" t="str">
        <x:v>content-40</x:v>
      </x:c>
      <x:c r="H33" s="92" t="str">
        <x:v>독해 추론 오답 교정</x:v>
      </x:c>
      <x:c r="I33" s="83" t="str">
        <x:v>퀴즈</x:v>
      </x:c>
      <x:c r="J33" s="83" t="n">
        <x:v>2</x:v>
      </x:c>
      <x:c r="K33" s="83" t="n">
        <x:v>9</x:v>
      </x:c>
      <x:c r="L33" s="83" t="str">
        <x:v>독해 추론</x:v>
      </x:c>
      <x:c r="M33" s="110" t="n">
        <x:v>57</x:v>
      </x:c>
      <x:c r="N33" s="107" t="n">
        <x:v>2</x:v>
      </x:c>
      <x:c r="O33" s="107" t="str">
        <x:v>높음</x:v>
      </x:c>
      <x:c r="P33" s="107" t="str">
        <x:v>행동</x:v>
      </x:c>
      <x:c r="Q33" s="113" t="n">
        <x:v>0.6</x:v>
      </x:c>
      <x:c r="R33" s="113" t="n">
        <x:v>0.5</x:v>
      </x:c>
      <x:c r="S33" s="107" t="n">
        <x:v>10</x:v>
      </x:c>
      <x:c r="T33" s="86" t="str">
        <x:f>'개인적합도'!AE33</x:f>
        <x:v>medium</x:v>
      </x:c>
      <x:c r="U33" s="86" t="str">
        <x:v>medium</x:v>
      </x:c>
      <x:c r="V33" s="86" t="n">
        <x:f>IF(U33="high",IF(T33="high",3,IF(T33="medium",2,1)),IF(U33="medium",IF(T33="low",1,2),IF(T33="low",0,1)))</x:f>
        <x:v>2</x:v>
      </x:c>
      <x:c r="W33" s="89" t="n">
        <x:v>2</x:v>
      </x:c>
      <x:c r="X33" s="101" t="str">
        <x:v>매트릭스 일치</x:v>
      </x:c>
      <x:c r="Y33" s="101" t="str">
        <x:v>최근 5회 오답률 60%, 누적 50%, 진단 50%로 중간 학습 필요. 독해 추론 직접 목표이나 퀴즈가 선호 유형이 아니어서 관련도 2로 판단합니다.</x:v>
      </x:c>
      <x:c r="Z33" s="101" t="str">
        <x:v>우선 검토</x:v>
      </x:c>
      <x:c r="AA33" s="101" t="str">
        <x:v>Codex 초안</x:v>
      </x:c>
      <x:c r="AB33" s="101" t="str"/>
    </x:row>
    <x:row r="34" ht="52" customHeight="1">
      <x:c r="A34" s="80" t="str">
        <x:v>user-03__content-21</x:v>
      </x:c>
      <x:c r="B34" s="80" t="str">
        <x:v>user-03</x:v>
      </x:c>
      <x:c r="C34" s="80" t="str">
        <x:v>행동 중심형</x:v>
      </x:c>
      <x:c r="D34" s="96" t="str">
        <x:v>신규 · 10회 이상 행동 중심</x:v>
      </x:c>
      <x:c r="E34" s="92" t="n">
        <x:v>2</x:v>
      </x:c>
      <x:c r="F34" s="92" t="str">
        <x:v>문맥 어휘와 독해 추론 강화</x:v>
      </x:c>
      <x:c r="G34" s="83" t="str">
        <x:v>content-21</x:v>
      </x:c>
      <x:c r="H34" s="92" t="str">
        <x:v>관계대명사 핵심 퀴즈</x:v>
      </x:c>
      <x:c r="I34" s="83" t="str">
        <x:v>퀴즈</x:v>
      </x:c>
      <x:c r="J34" s="83" t="n">
        <x:v>1</x:v>
      </x:c>
      <x:c r="K34" s="83" t="n">
        <x:v>6</x:v>
      </x:c>
      <x:c r="L34" s="83" t="str">
        <x:v>관계대명사</x:v>
      </x:c>
      <x:c r="M34" s="110" t="n">
        <x:v>25</x:v>
      </x:c>
      <x:c r="N34" s="107" t="n">
        <x:v>3</x:v>
      </x:c>
      <x:c r="O34" s="107" t="str">
        <x:v>낮음</x:v>
      </x:c>
      <x:c r="P34" s="107" t="str">
        <x:v>진단</x:v>
      </x:c>
      <x:c r="Q34" s="113"/>
      <x:c r="R34" s="113"/>
      <x:c r="S34" s="107" t="n">
        <x:v>0</x:v>
      </x:c>
      <x:c r="T34" s="86" t="str">
        <x:f>'개인적합도'!AE34</x:f>
        <x:v>low</x:v>
      </x:c>
      <x:c r="U34" s="86" t="str">
        <x:v>low</x:v>
      </x:c>
      <x:c r="V34" s="86" t="n">
        <x:f>IF(U34="high",IF(T34="high",3,IF(T34="medium",2,1)),IF(U34="medium",IF(T34="low",1,2),IF(T34="low",0,1)))</x:f>
        <x:v>0</x:v>
      </x:c>
      <x:c r="W34" s="89" t="n">
        <x:v>0</x:v>
      </x:c>
      <x:c r="X34" s="101" t="str">
        <x:v>매트릭스 일치</x:v>
      </x:c>
      <x:c r="Y34" s="101" t="str">
        <x:v>유효 학습 0회와 진단 근거에서 해당 개념의 뚜렷한 학습 필요가 확인되지 않음. 관계대명사는 목표 밖이고 취약 근거도 낮은 제3 개념 채움 후보라 추천 근거가 거의 없습니다.</x:v>
      </x:c>
      <x:c r="Z34" s="101" t="str">
        <x:v>우선 검토</x:v>
      </x:c>
      <x:c r="AA34" s="101" t="str">
        <x:v>Codex 초안</x:v>
      </x:c>
      <x:c r="AB34" s="101" t="str"/>
    </x:row>
    <x:row r="35" ht="52" customHeight="1">
      <x:c r="A35" s="80" t="str">
        <x:v>user-04__content-01</x:v>
      </x:c>
      <x:c r="B35" s="80" t="str">
        <x:v>user-04</x:v>
      </x:c>
      <x:c r="C35" s="80" t="str">
        <x:v>짧은 퀴즈형</x:v>
      </x:c>
      <x:c r="D35" s="96" t="str">
        <x:v>기존 · 짧은 퀴즈 선호</x:v>
      </x:c>
      <x:c r="E35" s="92" t="n">
        <x:v>2</x:v>
      </x:c>
      <x:c r="F35" s="92" t="str">
        <x:v>시험 문법 오답을 짧게 교정</x:v>
      </x:c>
      <x:c r="G35" s="83" t="str">
        <x:v>content-01</x:v>
      </x:c>
      <x:c r="H35" s="92" t="str">
        <x:v>현재완료 핵심 퀴즈</x:v>
      </x:c>
      <x:c r="I35" s="83" t="str">
        <x:v>퀴즈</x:v>
      </x:c>
      <x:c r="J35" s="83" t="n">
        <x:v>1</x:v>
      </x:c>
      <x:c r="K35" s="83" t="n">
        <x:v>6</x:v>
      </x:c>
      <x:c r="L35" s="83" t="str">
        <x:v>현재완료</x:v>
      </x:c>
      <x:c r="M35" s="110" t="n">
        <x:v>78.5</x:v>
      </x:c>
      <x:c r="N35" s="107" t="n">
        <x:v>1</x:v>
      </x:c>
      <x:c r="O35" s="107" t="str">
        <x:v>보통</x:v>
      </x:c>
      <x:c r="P35" s="107" t="str">
        <x:v>행동</x:v>
      </x:c>
      <x:c r="Q35" s="113" t="n">
        <x:v>0.8</x:v>
      </x:c>
      <x:c r="R35" s="113" t="n">
        <x:v>0.75</x:v>
      </x:c>
      <x:c r="S35" s="107" t="n">
        <x:v>8</x:v>
      </x:c>
      <x:c r="T35" s="86" t="str">
        <x:f>'개인적합도'!AE35</x:f>
        <x:v>high</x:v>
      </x:c>
      <x:c r="U35" s="86" t="str">
        <x:v>high</x:v>
      </x:c>
      <x:c r="V35" s="86" t="n">
        <x:f>IF(U35="high",IF(T35="high",3,IF(T35="medium",2,1)),IF(U35="medium",IF(T35="low",1,2),IF(T35="low",0,1)))</x:f>
        <x:v>3</x:v>
      </x:c>
      <x:c r="W35" s="89" t="n">
        <x:v>3</x:v>
      </x:c>
      <x:c r="X35" s="101" t="str">
        <x:v>매트릭스 일치</x:v>
      </x:c>
      <x:c r="Y35" s="101" t="str">
        <x:v>최근 5회 오답률 80%, 누적 75%, 진단 N/A%로 높은 학습 필요. 현재완료 직접 목표, 짧은 퀴즈 선호, 높은 취약도가 모두 맞습니다.</x:v>
      </x:c>
      <x:c r="Z35" s="101" t="str">
        <x:v>일반</x:v>
      </x:c>
      <x:c r="AA35" s="101" t="str">
        <x:v>Codex 초안</x:v>
      </x:c>
      <x:c r="AB35" s="101" t="str"/>
    </x:row>
    <x:row r="36" ht="52" customHeight="1">
      <x:c r="A36" s="80" t="str">
        <x:v>user-04__content-02</x:v>
      </x:c>
      <x:c r="B36" s="80" t="str">
        <x:v>user-04</x:v>
      </x:c>
      <x:c r="C36" s="80" t="str">
        <x:v>짧은 퀴즈형</x:v>
      </x:c>
      <x:c r="D36" s="96" t="str">
        <x:v>기존 · 짧은 퀴즈 선호</x:v>
      </x:c>
      <x:c r="E36" s="92" t="n">
        <x:v>2</x:v>
      </x:c>
      <x:c r="F36" s="92" t="str">
        <x:v>시험 문법 오답을 짧게 교정</x:v>
      </x:c>
      <x:c r="G36" s="83" t="str">
        <x:v>content-02</x:v>
      </x:c>
      <x:c r="H36" s="92" t="str">
        <x:v>현재완료 개념 강의</x:v>
      </x:c>
      <x:c r="I36" s="83" t="str">
        <x:v>영상 강의</x:v>
      </x:c>
      <x:c r="J36" s="83" t="n">
        <x:v>2</x:v>
      </x:c>
      <x:c r="K36" s="83" t="n">
        <x:v>18</x:v>
      </x:c>
      <x:c r="L36" s="83" t="str">
        <x:v>현재완료</x:v>
      </x:c>
      <x:c r="M36" s="110" t="n">
        <x:v>78.5</x:v>
      </x:c>
      <x:c r="N36" s="107" t="n">
        <x:v>1</x:v>
      </x:c>
      <x:c r="O36" s="107" t="str">
        <x:v>보통</x:v>
      </x:c>
      <x:c r="P36" s="107" t="str">
        <x:v>행동</x:v>
      </x:c>
      <x:c r="Q36" s="113" t="n">
        <x:v>0.8</x:v>
      </x:c>
      <x:c r="R36" s="113" t="n">
        <x:v>0.75</x:v>
      </x:c>
      <x:c r="S36" s="107" t="n">
        <x:v>8</x:v>
      </x:c>
      <x:c r="T36" s="86" t="str">
        <x:f>'개인적합도'!AE36</x:f>
        <x:v>medium</x:v>
      </x:c>
      <x:c r="U36" s="86" t="str">
        <x:v>high</x:v>
      </x:c>
      <x:c r="V36" s="86" t="n">
        <x:f>IF(U36="high",IF(T36="high",3,IF(T36="medium",2,1)),IF(U36="medium",IF(T36="low",1,2),IF(T36="low",0,1)))</x:f>
        <x:v>2</x:v>
      </x:c>
      <x:c r="W36" s="89" t="n">
        <x:v>2</x:v>
      </x:c>
      <x:c r="X36" s="101" t="str">
        <x:v>매트릭스 일치</x:v>
      </x:c>
      <x:c r="Y36" s="101" t="str">
        <x:v>최근 5회 오답률 80%, 누적 75%, 진단 N/A%로 높은 학습 필요. 현재완료 직접 목표지만 비선호 영상이며 평균 학습 시간 대비 길어 관련도 2로 판단합니다.</x:v>
      </x:c>
      <x:c r="Z36" s="101" t="str">
        <x:v>일반</x:v>
      </x:c>
      <x:c r="AA36" s="101" t="str">
        <x:v>Codex 초안</x:v>
      </x:c>
      <x:c r="AB36" s="101" t="str"/>
    </x:row>
    <x:row r="37" ht="52" customHeight="1">
      <x:c r="A37" s="80" t="str">
        <x:v>user-04__content-03</x:v>
      </x:c>
      <x:c r="B37" s="80" t="str">
        <x:v>user-04</x:v>
      </x:c>
      <x:c r="C37" s="80" t="str">
        <x:v>짧은 퀴즈형</x:v>
      </x:c>
      <x:c r="D37" s="96" t="str">
        <x:v>기존 · 짧은 퀴즈 선호</x:v>
      </x:c>
      <x:c r="E37" s="92" t="n">
        <x:v>2</x:v>
      </x:c>
      <x:c r="F37" s="92" t="str">
        <x:v>시험 문법 오답을 짧게 교정</x:v>
      </x:c>
      <x:c r="G37" s="83" t="str">
        <x:v>content-03</x:v>
      </x:c>
      <x:c r="H37" s="92" t="str">
        <x:v>현재완료 예문 읽기</x:v>
      </x:c>
      <x:c r="I37" s="83" t="str">
        <x:v>예문 읽기</x:v>
      </x:c>
      <x:c r="J37" s="83" t="n">
        <x:v>2</x:v>
      </x:c>
      <x:c r="K37" s="83" t="n">
        <x:v>12</x:v>
      </x:c>
      <x:c r="L37" s="83" t="str">
        <x:v>현재완료</x:v>
      </x:c>
      <x:c r="M37" s="110" t="n">
        <x:v>78.5</x:v>
      </x:c>
      <x:c r="N37" s="107" t="n">
        <x:v>1</x:v>
      </x:c>
      <x:c r="O37" s="107" t="str">
        <x:v>보통</x:v>
      </x:c>
      <x:c r="P37" s="107" t="str">
        <x:v>행동</x:v>
      </x:c>
      <x:c r="Q37" s="113" t="n">
        <x:v>0.8</x:v>
      </x:c>
      <x:c r="R37" s="113" t="n">
        <x:v>0.75</x:v>
      </x:c>
      <x:c r="S37" s="107" t="n">
        <x:v>8</x:v>
      </x:c>
      <x:c r="T37" s="86" t="str">
        <x:f>'개인적합도'!AE37</x:f>
        <x:v>high</x:v>
      </x:c>
      <x:c r="U37" s="86" t="str">
        <x:v>high</x:v>
      </x:c>
      <x:c r="V37" s="86" t="n">
        <x:f>IF(U37="high",IF(T37="high",3,IF(T37="medium",2,1)),IF(U37="medium",IF(T37="low",1,2),IF(T37="low",0,1)))</x:f>
        <x:v>3</x:v>
      </x:c>
      <x:c r="W37" s="89" t="n">
        <x:v>3</x:v>
      </x:c>
      <x:c r="X37" s="101" t="str">
        <x:v>매트릭스 일치</x:v>
      </x:c>
      <x:c r="Y37" s="101" t="str">
        <x:v>최근 5회 오답률 80%, 누적 75%, 진단 N/A%로 높은 학습 필요. 현재완료 직접 목표, 두 번째 선호 읽기, 허용 가능한 시간과 레벨이 맞습니다.</x:v>
      </x:c>
      <x:c r="Z37" s="101" t="str">
        <x:v>일반</x:v>
      </x:c>
      <x:c r="AA37" s="101" t="str">
        <x:v>Codex 초안</x:v>
      </x:c>
      <x:c r="AB37" s="101" t="str"/>
    </x:row>
    <x:row r="38" ht="52" customHeight="1">
      <x:c r="A38" s="80" t="str">
        <x:v>user-04__content-04</x:v>
      </x:c>
      <x:c r="B38" s="80" t="str">
        <x:v>user-04</x:v>
      </x:c>
      <x:c r="C38" s="80" t="str">
        <x:v>짧은 퀴즈형</x:v>
      </x:c>
      <x:c r="D38" s="96" t="str">
        <x:v>기존 · 짧은 퀴즈 선호</x:v>
      </x:c>
      <x:c r="E38" s="92" t="n">
        <x:v>2</x:v>
      </x:c>
      <x:c r="F38" s="92" t="str">
        <x:v>시험 문법 오답을 짧게 교정</x:v>
      </x:c>
      <x:c r="G38" s="83" t="str">
        <x:v>content-04</x:v>
      </x:c>
      <x:c r="H38" s="92" t="str">
        <x:v>현재완료 심화 문제</x:v>
      </x:c>
      <x:c r="I38" s="83" t="str">
        <x:v>심화 문제</x:v>
      </x:c>
      <x:c r="J38" s="83" t="n">
        <x:v>3</x:v>
      </x:c>
      <x:c r="K38" s="83" t="n">
        <x:v>22</x:v>
      </x:c>
      <x:c r="L38" s="83" t="str">
        <x:v>현재완료</x:v>
      </x:c>
      <x:c r="M38" s="110" t="n">
        <x:v>78.5</x:v>
      </x:c>
      <x:c r="N38" s="107" t="n">
        <x:v>1</x:v>
      </x:c>
      <x:c r="O38" s="107" t="str">
        <x:v>보통</x:v>
      </x:c>
      <x:c r="P38" s="107" t="str">
        <x:v>행동</x:v>
      </x:c>
      <x:c r="Q38" s="113" t="n">
        <x:v>0.8</x:v>
      </x:c>
      <x:c r="R38" s="113" t="n">
        <x:v>0.75</x:v>
      </x:c>
      <x:c r="S38" s="107" t="n">
        <x:v>8</x:v>
      </x:c>
      <x:c r="T38" s="86" t="str">
        <x:f>'개인적합도'!AE38</x:f>
        <x:v>medium</x:v>
      </x:c>
      <x:c r="U38" s="86" t="str">
        <x:v>high</x:v>
      </x:c>
      <x:c r="V38" s="86" t="n">
        <x:f>IF(U38="high",IF(T38="high",3,IF(T38="medium",2,1)),IF(U38="medium",IF(T38="low",1,2),IF(T38="low",0,1)))</x:f>
        <x:v>2</x:v>
      </x:c>
      <x:c r="W38" s="89" t="n">
        <x:v>2</x:v>
      </x:c>
      <x:c r="X38" s="101" t="str">
        <x:v>매트릭스 일치</x:v>
      </x:c>
      <x:c r="Y38" s="101" t="str">
        <x:v>최근 5회 오답률 80%, 누적 75%, 진단 N/A%로 높은 학습 필요. 현재완료를 보완하지만 비선호 문제풀이, 22분, 상위 난이도가 부담입니다.</x:v>
      </x:c>
      <x:c r="Z38" s="101" t="str">
        <x:v>일반</x:v>
      </x:c>
      <x:c r="AA38" s="101" t="str">
        <x:v>Codex 초안</x:v>
      </x:c>
      <x:c r="AB38" s="101" t="str"/>
    </x:row>
    <x:row r="39" ht="52" customHeight="1">
      <x:c r="A39" s="80" t="str">
        <x:v>user-04__content-05</x:v>
      </x:c>
      <x:c r="B39" s="80" t="str">
        <x:v>user-04</x:v>
      </x:c>
      <x:c r="C39" s="80" t="str">
        <x:v>짧은 퀴즈형</x:v>
      </x:c>
      <x:c r="D39" s="96" t="str">
        <x:v>기존 · 짧은 퀴즈 선호</x:v>
      </x:c>
      <x:c r="E39" s="92" t="n">
        <x:v>2</x:v>
      </x:c>
      <x:c r="F39" s="92" t="str">
        <x:v>시험 문법 오답을 짧게 교정</x:v>
      </x:c>
      <x:c r="G39" s="83" t="str">
        <x:v>content-05</x:v>
      </x:c>
      <x:c r="H39" s="92" t="str">
        <x:v>현재완료 오답 교정</x:v>
      </x:c>
      <x:c r="I39" s="83" t="str">
        <x:v>퀴즈</x:v>
      </x:c>
      <x:c r="J39" s="83" t="n">
        <x:v>2</x:v>
      </x:c>
      <x:c r="K39" s="83" t="n">
        <x:v>9</x:v>
      </x:c>
      <x:c r="L39" s="83" t="str">
        <x:v>현재완료</x:v>
      </x:c>
      <x:c r="M39" s="110" t="n">
        <x:v>78.5</x:v>
      </x:c>
      <x:c r="N39" s="107" t="n">
        <x:v>1</x:v>
      </x:c>
      <x:c r="O39" s="107" t="str">
        <x:v>보통</x:v>
      </x:c>
      <x:c r="P39" s="107" t="str">
        <x:v>행동</x:v>
      </x:c>
      <x:c r="Q39" s="113" t="n">
        <x:v>0.8</x:v>
      </x:c>
      <x:c r="R39" s="113" t="n">
        <x:v>0.75</x:v>
      </x:c>
      <x:c r="S39" s="107" t="n">
        <x:v>8</x:v>
      </x:c>
      <x:c r="T39" s="86" t="str">
        <x:f>'개인적합도'!AE39</x:f>
        <x:v>high</x:v>
      </x:c>
      <x:c r="U39" s="86" t="str">
        <x:v>high</x:v>
      </x:c>
      <x:c r="V39" s="86" t="n">
        <x:f>IF(U39="high",IF(T39="high",3,IF(T39="medium",2,1)),IF(U39="medium",IF(T39="low",1,2),IF(T39="low",0,1)))</x:f>
        <x:v>3</x:v>
      </x:c>
      <x:c r="W39" s="89" t="n">
        <x:v>3</x:v>
      </x:c>
      <x:c r="X39" s="101" t="str">
        <x:v>매트릭스 일치</x:v>
      </x:c>
      <x:c r="Y39" s="101" t="str">
        <x:v>최근 5회 오답률 80%, 누적 75%, 진단 N/A%로 높은 학습 필요. 현재완료 직접 목표, 퀴즈 선호, 9분과 레벨이 정확히 맞습니다.</x:v>
      </x:c>
      <x:c r="Z39" s="101" t="str">
        <x:v>일반</x:v>
      </x:c>
      <x:c r="AA39" s="101" t="str">
        <x:v>Codex 초안</x:v>
      </x:c>
      <x:c r="AB39" s="101" t="str"/>
    </x:row>
    <x:row r="40" ht="52" customHeight="1">
      <x:c r="A40" s="80" t="str">
        <x:v>user-04__content-21</x:v>
      </x:c>
      <x:c r="B40" s="80" t="str">
        <x:v>user-04</x:v>
      </x:c>
      <x:c r="C40" s="80" t="str">
        <x:v>짧은 퀴즈형</x:v>
      </x:c>
      <x:c r="D40" s="96" t="str">
        <x:v>기존 · 짧은 퀴즈 선호</x:v>
      </x:c>
      <x:c r="E40" s="92" t="n">
        <x:v>2</x:v>
      </x:c>
      <x:c r="F40" s="92" t="str">
        <x:v>시험 문법 오답을 짧게 교정</x:v>
      </x:c>
      <x:c r="G40" s="83" t="str">
        <x:v>content-21</x:v>
      </x:c>
      <x:c r="H40" s="92" t="str">
        <x:v>관계대명사 핵심 퀴즈</x:v>
      </x:c>
      <x:c r="I40" s="83" t="str">
        <x:v>퀴즈</x:v>
      </x:c>
      <x:c r="J40" s="83" t="n">
        <x:v>1</x:v>
      </x:c>
      <x:c r="K40" s="83" t="n">
        <x:v>6</x:v>
      </x:c>
      <x:c r="L40" s="83" t="str">
        <x:v>관계대명사</x:v>
      </x:c>
      <x:c r="M40" s="110" t="n">
        <x:v>77.43</x:v>
      </x:c>
      <x:c r="N40" s="107" t="n">
        <x:v>2</x:v>
      </x:c>
      <x:c r="O40" s="107" t="str">
        <x:v>보통</x:v>
      </x:c>
      <x:c r="P40" s="107" t="str">
        <x:v>행동</x:v>
      </x:c>
      <x:c r="Q40" s="113" t="n">
        <x:v>0.8</x:v>
      </x:c>
      <x:c r="R40" s="113" t="n">
        <x:v>0.7143</x:v>
      </x:c>
      <x:c r="S40" s="107" t="n">
        <x:v>7</x:v>
      </x:c>
      <x:c r="T40" s="86" t="str">
        <x:f>'개인적합도'!AE40</x:f>
        <x:v>high</x:v>
      </x:c>
      <x:c r="U40" s="86" t="str">
        <x:v>high</x:v>
      </x:c>
      <x:c r="V40" s="86" t="n">
        <x:f>IF(U40="high",IF(T40="high",3,IF(T40="medium",2,1)),IF(U40="medium",IF(T40="low",1,2),IF(T40="low",0,1)))</x:f>
        <x:v>3</x:v>
      </x:c>
      <x:c r="W40" s="89" t="n">
        <x:v>3</x:v>
      </x:c>
      <x:c r="X40" s="101" t="str">
        <x:v>매트릭스 일치</x:v>
      </x:c>
      <x:c r="Y40" s="101" t="str">
        <x:v>최근 5회 오답률 80%, 누적 71.43%, 진단 N/A%로 높은 학습 필요. 관계절 직접 목표이며 짧은 퀴즈 선호와 잘 맞습니다.</x:v>
      </x:c>
      <x:c r="Z40" s="101" t="str">
        <x:v>일반</x:v>
      </x:c>
      <x:c r="AA40" s="101" t="str">
        <x:v>Codex 초안</x:v>
      </x:c>
      <x:c r="AB40" s="101" t="str"/>
    </x:row>
    <x:row r="41" ht="52" customHeight="1">
      <x:c r="A41" s="80" t="str">
        <x:v>user-04__content-22</x:v>
      </x:c>
      <x:c r="B41" s="80" t="str">
        <x:v>user-04</x:v>
      </x:c>
      <x:c r="C41" s="80" t="str">
        <x:v>짧은 퀴즈형</x:v>
      </x:c>
      <x:c r="D41" s="96" t="str">
        <x:v>기존 · 짧은 퀴즈 선호</x:v>
      </x:c>
      <x:c r="E41" s="92" t="n">
        <x:v>2</x:v>
      </x:c>
      <x:c r="F41" s="92" t="str">
        <x:v>시험 문법 오답을 짧게 교정</x:v>
      </x:c>
      <x:c r="G41" s="83" t="str">
        <x:v>content-22</x:v>
      </x:c>
      <x:c r="H41" s="92" t="str">
        <x:v>관계대명사 개념 강의</x:v>
      </x:c>
      <x:c r="I41" s="83" t="str">
        <x:v>영상 강의</x:v>
      </x:c>
      <x:c r="J41" s="83" t="n">
        <x:v>2</x:v>
      </x:c>
      <x:c r="K41" s="83" t="n">
        <x:v>18</x:v>
      </x:c>
      <x:c r="L41" s="83" t="str">
        <x:v>관계대명사</x:v>
      </x:c>
      <x:c r="M41" s="110" t="n">
        <x:v>77.43</x:v>
      </x:c>
      <x:c r="N41" s="107" t="n">
        <x:v>2</x:v>
      </x:c>
      <x:c r="O41" s="107" t="str">
        <x:v>보통</x:v>
      </x:c>
      <x:c r="P41" s="107" t="str">
        <x:v>행동</x:v>
      </x:c>
      <x:c r="Q41" s="113" t="n">
        <x:v>0.8</x:v>
      </x:c>
      <x:c r="R41" s="113" t="n">
        <x:v>0.7143</x:v>
      </x:c>
      <x:c r="S41" s="107" t="n">
        <x:v>7</x:v>
      </x:c>
      <x:c r="T41" s="86" t="str">
        <x:f>'개인적합도'!AE41</x:f>
        <x:v>medium</x:v>
      </x:c>
      <x:c r="U41" s="86" t="str">
        <x:v>high</x:v>
      </x:c>
      <x:c r="V41" s="86" t="n">
        <x:f>IF(U41="high",IF(T41="high",3,IF(T41="medium",2,1)),IF(U41="medium",IF(T41="low",1,2),IF(T41="low",0,1)))</x:f>
        <x:v>2</x:v>
      </x:c>
      <x:c r="W41" s="89" t="n">
        <x:v>2</x:v>
      </x:c>
      <x:c r="X41" s="101" t="str">
        <x:v>매트릭스 일치</x:v>
      </x:c>
      <x:c r="Y41" s="101" t="str">
        <x:v>최근 5회 오답률 80%, 누적 71.43%, 진단 N/A%로 높은 학습 필요. 관계절 직접 목표지만 비선호 영상이고 평균 학습 시간보다 깁니다.</x:v>
      </x:c>
      <x:c r="Z41" s="101" t="str">
        <x:v>일반</x:v>
      </x:c>
      <x:c r="AA41" s="101" t="str">
        <x:v>Codex 초안</x:v>
      </x:c>
      <x:c r="AB41" s="101" t="str"/>
    </x:row>
    <x:row r="42" ht="52" customHeight="1">
      <x:c r="A42" s="80" t="str">
        <x:v>user-04__content-23</x:v>
      </x:c>
      <x:c r="B42" s="80" t="str">
        <x:v>user-04</x:v>
      </x:c>
      <x:c r="C42" s="80" t="str">
        <x:v>짧은 퀴즈형</x:v>
      </x:c>
      <x:c r="D42" s="96" t="str">
        <x:v>기존 · 짧은 퀴즈 선호</x:v>
      </x:c>
      <x:c r="E42" s="92" t="n">
        <x:v>2</x:v>
      </x:c>
      <x:c r="F42" s="92" t="str">
        <x:v>시험 문법 오답을 짧게 교정</x:v>
      </x:c>
      <x:c r="G42" s="83" t="str">
        <x:v>content-23</x:v>
      </x:c>
      <x:c r="H42" s="92" t="str">
        <x:v>관계대명사 예문 읽기</x:v>
      </x:c>
      <x:c r="I42" s="83" t="str">
        <x:v>예문 읽기</x:v>
      </x:c>
      <x:c r="J42" s="83" t="n">
        <x:v>2</x:v>
      </x:c>
      <x:c r="K42" s="83" t="n">
        <x:v>12</x:v>
      </x:c>
      <x:c r="L42" s="83" t="str">
        <x:v>관계대명사</x:v>
      </x:c>
      <x:c r="M42" s="110" t="n">
        <x:v>77.43</x:v>
      </x:c>
      <x:c r="N42" s="107" t="n">
        <x:v>2</x:v>
      </x:c>
      <x:c r="O42" s="107" t="str">
        <x:v>보통</x:v>
      </x:c>
      <x:c r="P42" s="107" t="str">
        <x:v>행동</x:v>
      </x:c>
      <x:c r="Q42" s="113" t="n">
        <x:v>0.8</x:v>
      </x:c>
      <x:c r="R42" s="113" t="n">
        <x:v>0.7143</x:v>
      </x:c>
      <x:c r="S42" s="107" t="n">
        <x:v>7</x:v>
      </x:c>
      <x:c r="T42" s="86" t="str">
        <x:f>'개인적합도'!AE42</x:f>
        <x:v>high</x:v>
      </x:c>
      <x:c r="U42" s="86" t="str">
        <x:v>high</x:v>
      </x:c>
      <x:c r="V42" s="86" t="n">
        <x:f>IF(U42="high",IF(T42="high",3,IF(T42="medium",2,1)),IF(U42="medium",IF(T42="low",1,2),IF(T42="low",0,1)))</x:f>
        <x:v>3</x:v>
      </x:c>
      <x:c r="W42" s="89" t="n">
        <x:v>3</x:v>
      </x:c>
      <x:c r="X42" s="101" t="str">
        <x:v>매트릭스 일치</x:v>
      </x:c>
      <x:c r="Y42" s="101" t="str">
        <x:v>최근 5회 오답률 80%, 누적 71.43%, 진단 N/A%로 높은 학습 필요. 관계절 직접 목표, 읽기 선호, 시간과 레벨이 허용 범위에 있습니다.</x:v>
      </x:c>
      <x:c r="Z42" s="101" t="str">
        <x:v>일반</x:v>
      </x:c>
      <x:c r="AA42" s="101" t="str">
        <x:v>Codex 초안</x:v>
      </x:c>
      <x:c r="AB42" s="101" t="str"/>
    </x:row>
    <x:row r="43" ht="52" customHeight="1">
      <x:c r="A43" s="80" t="str">
        <x:v>user-04__content-24</x:v>
      </x:c>
      <x:c r="B43" s="80" t="str">
        <x:v>user-04</x:v>
      </x:c>
      <x:c r="C43" s="80" t="str">
        <x:v>짧은 퀴즈형</x:v>
      </x:c>
      <x:c r="D43" s="96" t="str">
        <x:v>기존 · 짧은 퀴즈 선호</x:v>
      </x:c>
      <x:c r="E43" s="92" t="n">
        <x:v>2</x:v>
      </x:c>
      <x:c r="F43" s="92" t="str">
        <x:v>시험 문법 오답을 짧게 교정</x:v>
      </x:c>
      <x:c r="G43" s="83" t="str">
        <x:v>content-24</x:v>
      </x:c>
      <x:c r="H43" s="92" t="str">
        <x:v>관계대명사 심화 문제</x:v>
      </x:c>
      <x:c r="I43" s="83" t="str">
        <x:v>심화 문제</x:v>
      </x:c>
      <x:c r="J43" s="83" t="n">
        <x:v>3</x:v>
      </x:c>
      <x:c r="K43" s="83" t="n">
        <x:v>22</x:v>
      </x:c>
      <x:c r="L43" s="83" t="str">
        <x:v>관계대명사</x:v>
      </x:c>
      <x:c r="M43" s="110" t="n">
        <x:v>77.43</x:v>
      </x:c>
      <x:c r="N43" s="107" t="n">
        <x:v>2</x:v>
      </x:c>
      <x:c r="O43" s="107" t="str">
        <x:v>보통</x:v>
      </x:c>
      <x:c r="P43" s="107" t="str">
        <x:v>행동</x:v>
      </x:c>
      <x:c r="Q43" s="113" t="n">
        <x:v>0.8</x:v>
      </x:c>
      <x:c r="R43" s="113" t="n">
        <x:v>0.7143</x:v>
      </x:c>
      <x:c r="S43" s="107" t="n">
        <x:v>7</x:v>
      </x:c>
      <x:c r="T43" s="86" t="str">
        <x:f>'개인적합도'!AE43</x:f>
        <x:v>medium</x:v>
      </x:c>
      <x:c r="U43" s="86" t="str">
        <x:v>high</x:v>
      </x:c>
      <x:c r="V43" s="86" t="n">
        <x:f>IF(U43="high",IF(T43="high",3,IF(T43="medium",2,1)),IF(U43="medium",IF(T43="low",1,2),IF(T43="low",0,1)))</x:f>
        <x:v>2</x:v>
      </x:c>
      <x:c r="W43" s="89" t="n">
        <x:v>2</x:v>
      </x:c>
      <x:c r="X43" s="101" t="str">
        <x:v>매트릭스 일치</x:v>
      </x:c>
      <x:c r="Y43" s="101" t="str">
        <x:v>최근 5회 오답률 80%, 누적 71.43%, 진단 N/A%로 높은 학습 필요. 관계절을 보완하지만 비선호 문제풀이, 22분, 상위 난이도가 부담입니다.</x:v>
      </x:c>
      <x:c r="Z43" s="101" t="str">
        <x:v>일반</x:v>
      </x:c>
      <x:c r="AA43" s="101" t="str">
        <x:v>Codex 초안</x:v>
      </x:c>
      <x:c r="AB43" s="101" t="str"/>
    </x:row>
    <x:row r="44" ht="52" customHeight="1">
      <x:c r="A44" s="80" t="str">
        <x:v>user-04__content-25</x:v>
      </x:c>
      <x:c r="B44" s="80" t="str">
        <x:v>user-04</x:v>
      </x:c>
      <x:c r="C44" s="80" t="str">
        <x:v>짧은 퀴즈형</x:v>
      </x:c>
      <x:c r="D44" s="96" t="str">
        <x:v>기존 · 짧은 퀴즈 선호</x:v>
      </x:c>
      <x:c r="E44" s="92" t="n">
        <x:v>2</x:v>
      </x:c>
      <x:c r="F44" s="92" t="str">
        <x:v>시험 문법 오답을 짧게 교정</x:v>
      </x:c>
      <x:c r="G44" s="83" t="str">
        <x:v>content-25</x:v>
      </x:c>
      <x:c r="H44" s="92" t="str">
        <x:v>관계대명사 오답 교정</x:v>
      </x:c>
      <x:c r="I44" s="83" t="str">
        <x:v>퀴즈</x:v>
      </x:c>
      <x:c r="J44" s="83" t="n">
        <x:v>2</x:v>
      </x:c>
      <x:c r="K44" s="83" t="n">
        <x:v>9</x:v>
      </x:c>
      <x:c r="L44" s="83" t="str">
        <x:v>관계대명사</x:v>
      </x:c>
      <x:c r="M44" s="110" t="n">
        <x:v>77.43</x:v>
      </x:c>
      <x:c r="N44" s="107" t="n">
        <x:v>2</x:v>
      </x:c>
      <x:c r="O44" s="107" t="str">
        <x:v>보통</x:v>
      </x:c>
      <x:c r="P44" s="107" t="str">
        <x:v>행동</x:v>
      </x:c>
      <x:c r="Q44" s="113" t="n">
        <x:v>0.8</x:v>
      </x:c>
      <x:c r="R44" s="113" t="n">
        <x:v>0.7143</x:v>
      </x:c>
      <x:c r="S44" s="107" t="n">
        <x:v>7</x:v>
      </x:c>
      <x:c r="T44" s="86" t="str">
        <x:f>'개인적합도'!AE44</x:f>
        <x:v>high</x:v>
      </x:c>
      <x:c r="U44" s="86" t="str">
        <x:v>high</x:v>
      </x:c>
      <x:c r="V44" s="86" t="n">
        <x:f>IF(U44="high",IF(T44="high",3,IF(T44="medium",2,1)),IF(U44="medium",IF(T44="low",1,2),IF(T44="low",0,1)))</x:f>
        <x:v>3</x:v>
      </x:c>
      <x:c r="W44" s="89" t="n">
        <x:v>3</x:v>
      </x:c>
      <x:c r="X44" s="101" t="str">
        <x:v>매트릭스 일치</x:v>
      </x:c>
      <x:c r="Y44" s="101" t="str">
        <x:v>최근 5회 오답률 80%, 누적 71.43%, 진단 N/A%로 높은 학습 필요. 관계절 직접 목표, 퀴즈 선호, 9분과 레벨이 정확히 맞습니다.</x:v>
      </x:c>
      <x:c r="Z44" s="101" t="str">
        <x:v>일반</x:v>
      </x:c>
      <x:c r="AA44" s="101" t="str">
        <x:v>Codex 초안</x:v>
      </x:c>
      <x:c r="AB44" s="101" t="str"/>
    </x:row>
    <x:row r="45" ht="52" customHeight="1">
      <x:c r="A45" s="80" t="str">
        <x:v>user-05__content-17</x:v>
      </x:c>
      <x:c r="B45" s="80" t="str">
        <x:v>user-05</x:v>
      </x:c>
      <x:c r="C45" s="80" t="str">
        <x:v>긴 강의형</x:v>
      </x:c>
      <x:c r="D45" s="96" t="str">
        <x:v>기존 · 긴 개념 강의 선호</x:v>
      </x:c>
      <x:c r="E45" s="92" t="n">
        <x:v>3</x:v>
      </x:c>
      <x:c r="F45" s="92" t="str">
        <x:v>고급 문법 구조를 깊이 이해</x:v>
      </x:c>
      <x:c r="G45" s="83" t="str">
        <x:v>content-17</x:v>
      </x:c>
      <x:c r="H45" s="92" t="str">
        <x:v>수동태 개념 강의</x:v>
      </x:c>
      <x:c r="I45" s="83" t="str">
        <x:v>영상 강의</x:v>
      </x:c>
      <x:c r="J45" s="83" t="n">
        <x:v>2</x:v>
      </x:c>
      <x:c r="K45" s="83" t="n">
        <x:v>18</x:v>
      </x:c>
      <x:c r="L45" s="83" t="str">
        <x:v>수동태</x:v>
      </x:c>
      <x:c r="M45" s="110" t="n">
        <x:v>77.43</x:v>
      </x:c>
      <x:c r="N45" s="107" t="n">
        <x:v>1</x:v>
      </x:c>
      <x:c r="O45" s="107" t="str">
        <x:v>보통</x:v>
      </x:c>
      <x:c r="P45" s="107" t="str">
        <x:v>행동</x:v>
      </x:c>
      <x:c r="Q45" s="113" t="n">
        <x:v>0.8</x:v>
      </x:c>
      <x:c r="R45" s="113" t="n">
        <x:v>0.7143</x:v>
      </x:c>
      <x:c r="S45" s="107" t="n">
        <x:v>7</x:v>
      </x:c>
      <x:c r="T45" s="86" t="str">
        <x:f>'개인적합도'!AE45</x:f>
        <x:v>high</x:v>
      </x:c>
      <x:c r="U45" s="86" t="str">
        <x:v>high</x:v>
      </x:c>
      <x:c r="V45" s="86" t="n">
        <x:f>IF(U45="high",IF(T45="high",3,IF(T45="medium",2,1)),IF(U45="medium",IF(T45="low",1,2),IF(T45="low",0,1)))</x:f>
        <x:v>3</x:v>
      </x:c>
      <x:c r="W45" s="89" t="n">
        <x:v>3</x:v>
      </x:c>
      <x:c r="X45" s="101" t="str">
        <x:v>매트릭스 일치</x:v>
      </x:c>
      <x:c r="Y45" s="101" t="str">
        <x:v>최근 5회 오답률 80%, 누적 71.43%, 진단 N/A%로 높은 학습 필요. 수동태 직접 목표, 최우선 영상 선호, 평균 학습 시간과 높은 취약도가 모두 맞습니다.</x:v>
      </x:c>
      <x:c r="Z45" s="101" t="str">
        <x:v>일반</x:v>
      </x:c>
      <x:c r="AA45" s="101" t="str">
        <x:v>Codex 초안</x:v>
      </x:c>
      <x:c r="AB45" s="101" t="str"/>
    </x:row>
    <x:row r="46" ht="52" customHeight="1">
      <x:c r="A46" s="80" t="str">
        <x:v>user-05__content-18</x:v>
      </x:c>
      <x:c r="B46" s="80" t="str">
        <x:v>user-05</x:v>
      </x:c>
      <x:c r="C46" s="80" t="str">
        <x:v>긴 강의형</x:v>
      </x:c>
      <x:c r="D46" s="96" t="str">
        <x:v>기존 · 긴 개념 강의 선호</x:v>
      </x:c>
      <x:c r="E46" s="92" t="n">
        <x:v>3</x:v>
      </x:c>
      <x:c r="F46" s="92" t="str">
        <x:v>고급 문법 구조를 깊이 이해</x:v>
      </x:c>
      <x:c r="G46" s="83" t="str">
        <x:v>content-18</x:v>
      </x:c>
      <x:c r="H46" s="92" t="str">
        <x:v>수동태 예문 읽기</x:v>
      </x:c>
      <x:c r="I46" s="83" t="str">
        <x:v>예문 읽기</x:v>
      </x:c>
      <x:c r="J46" s="83" t="n">
        <x:v>2</x:v>
      </x:c>
      <x:c r="K46" s="83" t="n">
        <x:v>12</x:v>
      </x:c>
      <x:c r="L46" s="83" t="str">
        <x:v>수동태</x:v>
      </x:c>
      <x:c r="M46" s="110" t="n">
        <x:v>77.43</x:v>
      </x:c>
      <x:c r="N46" s="107" t="n">
        <x:v>1</x:v>
      </x:c>
      <x:c r="O46" s="107" t="str">
        <x:v>보통</x:v>
      </x:c>
      <x:c r="P46" s="107" t="str">
        <x:v>행동</x:v>
      </x:c>
      <x:c r="Q46" s="113" t="n">
        <x:v>0.8</x:v>
      </x:c>
      <x:c r="R46" s="113" t="n">
        <x:v>0.7143</x:v>
      </x:c>
      <x:c r="S46" s="107" t="n">
        <x:v>7</x:v>
      </x:c>
      <x:c r="T46" s="86" t="str">
        <x:f>'개인적합도'!AE46</x:f>
        <x:v>medium</x:v>
      </x:c>
      <x:c r="U46" s="86" t="str">
        <x:v>high</x:v>
      </x:c>
      <x:c r="V46" s="86" t="n">
        <x:f>IF(U46="high",IF(T46="high",3,IF(T46="medium",2,1)),IF(U46="medium",IF(T46="low",1,2),IF(T46="low",0,1)))</x:f>
        <x:v>2</x:v>
      </x:c>
      <x:c r="W46" s="89" t="n">
        <x:v>2</x:v>
      </x:c>
      <x:c r="X46" s="101" t="str">
        <x:v>매트릭스 일치</x:v>
      </x:c>
      <x:c r="Y46" s="101" t="str">
        <x:v>최근 5회 오답률 80%, 누적 71.43%, 진단 N/A%로 높은 학습 필요. 수동태 직접 목표이지만 읽기 선호가 약하고 깊이 학습 성향 대비 짧습니다.</x:v>
      </x:c>
      <x:c r="Z46" s="101" t="str">
        <x:v>우선 검토</x:v>
      </x:c>
      <x:c r="AA46" s="101" t="str">
        <x:v>Codex 초안</x:v>
      </x:c>
      <x:c r="AB46" s="101" t="str"/>
    </x:row>
    <x:row r="47" ht="52" customHeight="1">
      <x:c r="A47" s="80" t="str">
        <x:v>user-05__content-20</x:v>
      </x:c>
      <x:c r="B47" s="80" t="str">
        <x:v>user-05</x:v>
      </x:c>
      <x:c r="C47" s="80" t="str">
        <x:v>긴 강의형</x:v>
      </x:c>
      <x:c r="D47" s="96" t="str">
        <x:v>기존 · 긴 개념 강의 선호</x:v>
      </x:c>
      <x:c r="E47" s="92" t="n">
        <x:v>3</x:v>
      </x:c>
      <x:c r="F47" s="92" t="str">
        <x:v>고급 문법 구조를 깊이 이해</x:v>
      </x:c>
      <x:c r="G47" s="83" t="str">
        <x:v>content-20</x:v>
      </x:c>
      <x:c r="H47" s="92" t="str">
        <x:v>수동태 오답 교정</x:v>
      </x:c>
      <x:c r="I47" s="83" t="str">
        <x:v>퀴즈</x:v>
      </x:c>
      <x:c r="J47" s="83" t="n">
        <x:v>2</x:v>
      </x:c>
      <x:c r="K47" s="83" t="n">
        <x:v>9</x:v>
      </x:c>
      <x:c r="L47" s="83" t="str">
        <x:v>수동태</x:v>
      </x:c>
      <x:c r="M47" s="110" t="n">
        <x:v>77.43</x:v>
      </x:c>
      <x:c r="N47" s="107" t="n">
        <x:v>1</x:v>
      </x:c>
      <x:c r="O47" s="107" t="str">
        <x:v>보통</x:v>
      </x:c>
      <x:c r="P47" s="107" t="str">
        <x:v>행동</x:v>
      </x:c>
      <x:c r="Q47" s="113" t="n">
        <x:v>0.8</x:v>
      </x:c>
      <x:c r="R47" s="113" t="n">
        <x:v>0.7143</x:v>
      </x:c>
      <x:c r="S47" s="107" t="n">
        <x:v>7</x:v>
      </x:c>
      <x:c r="T47" s="86" t="str">
        <x:f>'개인적합도'!AE47</x:f>
        <x:v>medium</x:v>
      </x:c>
      <x:c r="U47" s="86" t="str">
        <x:v>high</x:v>
      </x:c>
      <x:c r="V47" s="86" t="n">
        <x:f>IF(U47="high",IF(T47="high",3,IF(T47="medium",2,1)),IF(U47="medium",IF(T47="low",1,2),IF(T47="low",0,1)))</x:f>
        <x:v>2</x:v>
      </x:c>
      <x:c r="W47" s="89" t="n">
        <x:v>2</x:v>
      </x:c>
      <x:c r="X47" s="101" t="str">
        <x:v>매트릭스 일치</x:v>
      </x:c>
      <x:c r="Y47" s="101" t="str">
        <x:v>최근 5회 오답률 80%, 누적 71.43%, 진단 N/A%로 높은 학습 필요. 수동태 직접 목표이나 퀴즈 선호가 낮고 깊이 학습 성향 대비 너무 짧습니다.</x:v>
      </x:c>
      <x:c r="Z47" s="101" t="str">
        <x:v>우선 검토</x:v>
      </x:c>
      <x:c r="AA47" s="101" t="str">
        <x:v>Codex 초안</x:v>
      </x:c>
      <x:c r="AB47" s="101" t="str"/>
    </x:row>
    <x:row r="48" ht="52" customHeight="1">
      <x:c r="A48" s="80" t="str">
        <x:v>user-05__content-07</x:v>
      </x:c>
      <x:c r="B48" s="80" t="str">
        <x:v>user-05</x:v>
      </x:c>
      <x:c r="C48" s="80" t="str">
        <x:v>긴 강의형</x:v>
      </x:c>
      <x:c r="D48" s="96" t="str">
        <x:v>기존 · 긴 개념 강의 선호</x:v>
      </x:c>
      <x:c r="E48" s="92" t="n">
        <x:v>3</x:v>
      </x:c>
      <x:c r="F48" s="92" t="str">
        <x:v>고급 문법 구조를 깊이 이해</x:v>
      </x:c>
      <x:c r="G48" s="83" t="str">
        <x:v>content-07</x:v>
      </x:c>
      <x:c r="H48" s="92" t="str">
        <x:v>과거완료 개념 강의</x:v>
      </x:c>
      <x:c r="I48" s="83" t="str">
        <x:v>영상 강의</x:v>
      </x:c>
      <x:c r="J48" s="83" t="n">
        <x:v>2</x:v>
      </x:c>
      <x:c r="K48" s="83" t="n">
        <x:v>18</x:v>
      </x:c>
      <x:c r="L48" s="83" t="str">
        <x:v>과거완료</x:v>
      </x:c>
      <x:c r="M48" s="110" t="n">
        <x:v>60.75</x:v>
      </x:c>
      <x:c r="N48" s="107" t="n">
        <x:v>2</x:v>
      </x:c>
      <x:c r="O48" s="107" t="str">
        <x:v>보통</x:v>
      </x:c>
      <x:c r="P48" s="107" t="str">
        <x:v>행동</x:v>
      </x:c>
      <x:c r="Q48" s="113" t="n">
        <x:v>0.6</x:v>
      </x:c>
      <x:c r="R48" s="113" t="n">
        <x:v>0.625</x:v>
      </x:c>
      <x:c r="S48" s="107" t="n">
        <x:v>8</x:v>
      </x:c>
      <x:c r="T48" s="86" t="str">
        <x:f>'개인적합도'!AE48</x:f>
        <x:v>high</x:v>
      </x:c>
      <x:c r="U48" s="86" t="str">
        <x:v>medium</x:v>
      </x:c>
      <x:c r="V48" s="86" t="n">
        <x:f>IF(U48="high",IF(T48="high",3,IF(T48="medium",2,1)),IF(U48="medium",IF(T48="low",1,2),IF(T48="low",0,1)))</x:f>
        <x:v>2</x:v>
      </x:c>
      <x:c r="W48" s="89" t="n">
        <x:v>2</x:v>
      </x:c>
      <x:c r="X48" s="101" t="str">
        <x:v>매트릭스 일치</x:v>
      </x:c>
      <x:c r="Y48" s="101" t="str">
        <x:v>최근 5회 오답률 60%, 누적 62.5%, 진단 N/A%로 중간 학습 필요. 과거완료는 인접 고급 문법 목표이며 영상과 18분 학습 성향이 잘 맞습니다.</x:v>
      </x:c>
      <x:c r="Z48" s="101" t="str">
        <x:v>일반</x:v>
      </x:c>
      <x:c r="AA48" s="101" t="str">
        <x:v>Codex 초안</x:v>
      </x:c>
      <x:c r="AB48" s="101" t="str"/>
    </x:row>
    <x:row r="49" ht="52" customHeight="1">
      <x:c r="A49" s="80" t="str">
        <x:v>user-05__content-09</x:v>
      </x:c>
      <x:c r="B49" s="80" t="str">
        <x:v>user-05</x:v>
      </x:c>
      <x:c r="C49" s="80" t="str">
        <x:v>긴 강의형</x:v>
      </x:c>
      <x:c r="D49" s="96" t="str">
        <x:v>기존 · 긴 개념 강의 선호</x:v>
      </x:c>
      <x:c r="E49" s="92" t="n">
        <x:v>3</x:v>
      </x:c>
      <x:c r="F49" s="92" t="str">
        <x:v>고급 문법 구조를 깊이 이해</x:v>
      </x:c>
      <x:c r="G49" s="83" t="str">
        <x:v>content-09</x:v>
      </x:c>
      <x:c r="H49" s="92" t="str">
        <x:v>과거완료 심화 문제</x:v>
      </x:c>
      <x:c r="I49" s="83" t="str">
        <x:v>심화 문제</x:v>
      </x:c>
      <x:c r="J49" s="83" t="n">
        <x:v>3</x:v>
      </x:c>
      <x:c r="K49" s="83" t="n">
        <x:v>22</x:v>
      </x:c>
      <x:c r="L49" s="83" t="str">
        <x:v>과거완료</x:v>
      </x:c>
      <x:c r="M49" s="110" t="n">
        <x:v>60.75</x:v>
      </x:c>
      <x:c r="N49" s="107" t="n">
        <x:v>2</x:v>
      </x:c>
      <x:c r="O49" s="107" t="str">
        <x:v>보통</x:v>
      </x:c>
      <x:c r="P49" s="107" t="str">
        <x:v>행동</x:v>
      </x:c>
      <x:c r="Q49" s="113" t="n">
        <x:v>0.6</x:v>
      </x:c>
      <x:c r="R49" s="113" t="n">
        <x:v>0.625</x:v>
      </x:c>
      <x:c r="S49" s="107" t="n">
        <x:v>8</x:v>
      </x:c>
      <x:c r="T49" s="86" t="str">
        <x:f>'개인적합도'!AE49</x:f>
        <x:v>high</x:v>
      </x:c>
      <x:c r="U49" s="86" t="str">
        <x:v>medium</x:v>
      </x:c>
      <x:c r="V49" s="86" t="n">
        <x:f>IF(U49="high",IF(T49="high",3,IF(T49="medium",2,1)),IF(U49="medium",IF(T49="low",1,2),IF(T49="low",0,1)))</x:f>
        <x:v>2</x:v>
      </x:c>
      <x:c r="W49" s="89" t="n">
        <x:v>2</x:v>
      </x:c>
      <x:c r="X49" s="101" t="str">
        <x:v>매트릭스 일치</x:v>
      </x:c>
      <x:c r="Y49" s="101" t="str">
        <x:v>최근 5회 오답률 60%, 누적 62.5%, 진단 N/A%로 중간 학습 필요. 과거완료는 인접 고급 문법 목표이고 문제풀이, 레벨 3, 22분이 잘 맞습니다.</x:v>
      </x:c>
      <x:c r="Z49" s="101" t="str">
        <x:v>일반</x:v>
      </x:c>
      <x:c r="AA49" s="101" t="str">
        <x:v>Codex 초안</x:v>
      </x:c>
      <x:c r="AB49" s="101" t="str"/>
    </x:row>
    <x:row r="50" ht="52" customHeight="1">
      <x:c r="A50" s="80" t="str">
        <x:v>user-05__content-10</x:v>
      </x:c>
      <x:c r="B50" s="80" t="str">
        <x:v>user-05</x:v>
      </x:c>
      <x:c r="C50" s="80" t="str">
        <x:v>긴 강의형</x:v>
      </x:c>
      <x:c r="D50" s="96" t="str">
        <x:v>기존 · 긴 개념 강의 선호</x:v>
      </x:c>
      <x:c r="E50" s="92" t="n">
        <x:v>3</x:v>
      </x:c>
      <x:c r="F50" s="92" t="str">
        <x:v>고급 문법 구조를 깊이 이해</x:v>
      </x:c>
      <x:c r="G50" s="83" t="str">
        <x:v>content-10</x:v>
      </x:c>
      <x:c r="H50" s="92" t="str">
        <x:v>과거완료 오답 교정</x:v>
      </x:c>
      <x:c r="I50" s="83" t="str">
        <x:v>퀴즈</x:v>
      </x:c>
      <x:c r="J50" s="83" t="n">
        <x:v>2</x:v>
      </x:c>
      <x:c r="K50" s="83" t="n">
        <x:v>9</x:v>
      </x:c>
      <x:c r="L50" s="83" t="str">
        <x:v>과거완료</x:v>
      </x:c>
      <x:c r="M50" s="110" t="n">
        <x:v>60.75</x:v>
      </x:c>
      <x:c r="N50" s="107" t="n">
        <x:v>2</x:v>
      </x:c>
      <x:c r="O50" s="107" t="str">
        <x:v>보통</x:v>
      </x:c>
      <x:c r="P50" s="107" t="str">
        <x:v>행동</x:v>
      </x:c>
      <x:c r="Q50" s="113" t="n">
        <x:v>0.6</x:v>
      </x:c>
      <x:c r="R50" s="113" t="n">
        <x:v>0.625</x:v>
      </x:c>
      <x:c r="S50" s="107" t="n">
        <x:v>8</x:v>
      </x:c>
      <x:c r="T50" s="86" t="str">
        <x:f>'개인적합도'!AE50</x:f>
        <x:v>medium</x:v>
      </x:c>
      <x:c r="U50" s="86" t="str">
        <x:v>medium</x:v>
      </x:c>
      <x:c r="V50" s="86" t="n">
        <x:f>IF(U50="high",IF(T50="high",3,IF(T50="medium",2,1)),IF(U50="medium",IF(T50="low",1,2),IF(T50="low",0,1)))</x:f>
        <x:v>2</x:v>
      </x:c>
      <x:c r="W50" s="89" t="n">
        <x:v>1</x:v>
      </x:c>
      <x:c r="X50" s="101" t="str">
        <x:v>2 → 1 정성 조정</x:v>
      </x:c>
      <x:c r="Y50" s="101" t="str">
        <x:v>최근 5회 오답률 60%, 누적 62.5%, 진단 N/A%로 중간 학습 필요. 과거완료는 인접 목표이나 퀴즈 선호가 낮고 짧으며 레벨도 한 단계 낮습니다.</x:v>
      </x:c>
      <x:c r="Z50" s="101" t="str">
        <x:v>우선 검토</x:v>
      </x:c>
      <x:c r="AA50" s="101" t="str">
        <x:v>Codex 초안</x:v>
      </x:c>
      <x:c r="AB50" s="101" t="str"/>
    </x:row>
    <x:row r="51" ht="52" customHeight="1">
      <x:c r="A51" s="80" t="str">
        <x:v>user-05__content-27</x:v>
      </x:c>
      <x:c r="B51" s="80" t="str">
        <x:v>user-05</x:v>
      </x:c>
      <x:c r="C51" s="80" t="str">
        <x:v>긴 강의형</x:v>
      </x:c>
      <x:c r="D51" s="96" t="str">
        <x:v>기존 · 긴 개념 강의 선호</x:v>
      </x:c>
      <x:c r="E51" s="92" t="n">
        <x:v>3</x:v>
      </x:c>
      <x:c r="F51" s="92" t="str">
        <x:v>고급 문법 구조를 깊이 이해</x:v>
      </x:c>
      <x:c r="G51" s="83" t="str">
        <x:v>content-27</x:v>
      </x:c>
      <x:c r="H51" s="92" t="str">
        <x:v>가정법 개념 강의</x:v>
      </x:c>
      <x:c r="I51" s="83" t="str">
        <x:v>영상 강의</x:v>
      </x:c>
      <x:c r="J51" s="83" t="n">
        <x:v>2</x:v>
      </x:c>
      <x:c r="K51" s="83" t="n">
        <x:v>18</x:v>
      </x:c>
      <x:c r="L51" s="83" t="str">
        <x:v>가정법</x:v>
      </x:c>
      <x:c r="M51" s="110" t="n">
        <x:v>59.14</x:v>
      </x:c>
      <x:c r="N51" s="107" t="n">
        <x:v>3</x:v>
      </x:c>
      <x:c r="O51" s="107" t="str">
        <x:v>보통</x:v>
      </x:c>
      <x:c r="P51" s="107" t="str">
        <x:v>행동</x:v>
      </x:c>
      <x:c r="Q51" s="113" t="n">
        <x:v>0.6</x:v>
      </x:c>
      <x:c r="R51" s="113" t="n">
        <x:v>0.5714</x:v>
      </x:c>
      <x:c r="S51" s="107" t="n">
        <x:v>7</x:v>
      </x:c>
      <x:c r="T51" s="86" t="str">
        <x:f>'개인적합도'!AE51</x:f>
        <x:v>high</x:v>
      </x:c>
      <x:c r="U51" s="86" t="str">
        <x:v>medium</x:v>
      </x:c>
      <x:c r="V51" s="86" t="n">
        <x:f>IF(U51="high",IF(T51="high",3,IF(T51="medium",2,1)),IF(U51="medium",IF(T51="low",1,2),IF(T51="low",0,1)))</x:f>
        <x:v>2</x:v>
      </x:c>
      <x:c r="W51" s="89" t="n">
        <x:v>3</x:v>
      </x:c>
      <x:c r="X51" s="101" t="str">
        <x:v>2 → 3 정성 조정</x:v>
      </x:c>
      <x:c r="Y51" s="101" t="str">
        <x:v>최근 5회 오답률 60%, 누적 57.14%, 진단 N/A%로 중간 학습 필요. 가정법 직접 목표이며 영상 선호와 학습 시간이 잘 맞습니다.</x:v>
      </x:c>
      <x:c r="Z51" s="101" t="str">
        <x:v>우선 검토</x:v>
      </x:c>
      <x:c r="AA51" s="101" t="str">
        <x:v>Codex 초안</x:v>
      </x:c>
      <x:c r="AB51" s="101" t="str"/>
    </x:row>
    <x:row r="52" ht="52" customHeight="1">
      <x:c r="A52" s="80" t="str">
        <x:v>user-05__content-28</x:v>
      </x:c>
      <x:c r="B52" s="80" t="str">
        <x:v>user-05</x:v>
      </x:c>
      <x:c r="C52" s="80" t="str">
        <x:v>긴 강의형</x:v>
      </x:c>
      <x:c r="D52" s="96" t="str">
        <x:v>기존 · 긴 개념 강의 선호</x:v>
      </x:c>
      <x:c r="E52" s="92" t="n">
        <x:v>3</x:v>
      </x:c>
      <x:c r="F52" s="92" t="str">
        <x:v>고급 문법 구조를 깊이 이해</x:v>
      </x:c>
      <x:c r="G52" s="83" t="str">
        <x:v>content-28</x:v>
      </x:c>
      <x:c r="H52" s="92" t="str">
        <x:v>가정법 예문 읽기</x:v>
      </x:c>
      <x:c r="I52" s="83" t="str">
        <x:v>예문 읽기</x:v>
      </x:c>
      <x:c r="J52" s="83" t="n">
        <x:v>2</x:v>
      </x:c>
      <x:c r="K52" s="83" t="n">
        <x:v>12</x:v>
      </x:c>
      <x:c r="L52" s="83" t="str">
        <x:v>가정법</x:v>
      </x:c>
      <x:c r="M52" s="110" t="n">
        <x:v>59.14</x:v>
      </x:c>
      <x:c r="N52" s="107" t="n">
        <x:v>3</x:v>
      </x:c>
      <x:c r="O52" s="107" t="str">
        <x:v>보통</x:v>
      </x:c>
      <x:c r="P52" s="107" t="str">
        <x:v>행동</x:v>
      </x:c>
      <x:c r="Q52" s="113" t="n">
        <x:v>0.6</x:v>
      </x:c>
      <x:c r="R52" s="113" t="n">
        <x:v>0.5714</x:v>
      </x:c>
      <x:c r="S52" s="107" t="n">
        <x:v>7</x:v>
      </x:c>
      <x:c r="T52" s="86" t="str">
        <x:f>'개인적합도'!AE52</x:f>
        <x:v>medium</x:v>
      </x:c>
      <x:c r="U52" s="86" t="str">
        <x:v>medium</x:v>
      </x:c>
      <x:c r="V52" s="86" t="n">
        <x:f>IF(U52="high",IF(T52="high",3,IF(T52="medium",2,1)),IF(U52="medium",IF(T52="low",1,2),IF(T52="low",0,1)))</x:f>
        <x:v>2</x:v>
      </x:c>
      <x:c r="W52" s="89" t="n">
        <x:v>2</x:v>
      </x:c>
      <x:c r="X52" s="101" t="str">
        <x:v>매트릭스 일치</x:v>
      </x:c>
      <x:c r="Y52" s="101" t="str">
        <x:v>최근 5회 오답률 60%, 누적 57.14%, 진단 N/A%로 중간 학습 필요. 가정법 직접 목표이지만 읽기 선호가 약하고 깊이 학습 성향 대비 짧습니다.</x:v>
      </x:c>
      <x:c r="Z52" s="101" t="str">
        <x:v>우선 검토</x:v>
      </x:c>
      <x:c r="AA52" s="101" t="str">
        <x:v>Codex 초안</x:v>
      </x:c>
      <x:c r="AB52" s="101" t="str"/>
    </x:row>
    <x:row r="53" ht="52" customHeight="1">
      <x:c r="A53" s="80" t="str">
        <x:v>user-05__content-29</x:v>
      </x:c>
      <x:c r="B53" s="80" t="str">
        <x:v>user-05</x:v>
      </x:c>
      <x:c r="C53" s="80" t="str">
        <x:v>긴 강의형</x:v>
      </x:c>
      <x:c r="D53" s="96" t="str">
        <x:v>기존 · 긴 개념 강의 선호</x:v>
      </x:c>
      <x:c r="E53" s="92" t="n">
        <x:v>3</x:v>
      </x:c>
      <x:c r="F53" s="92" t="str">
        <x:v>고급 문법 구조를 깊이 이해</x:v>
      </x:c>
      <x:c r="G53" s="83" t="str">
        <x:v>content-29</x:v>
      </x:c>
      <x:c r="H53" s="92" t="str">
        <x:v>가정법 심화 문제</x:v>
      </x:c>
      <x:c r="I53" s="83" t="str">
        <x:v>심화 문제</x:v>
      </x:c>
      <x:c r="J53" s="83" t="n">
        <x:v>3</x:v>
      </x:c>
      <x:c r="K53" s="83" t="n">
        <x:v>22</x:v>
      </x:c>
      <x:c r="L53" s="83" t="str">
        <x:v>가정법</x:v>
      </x:c>
      <x:c r="M53" s="110" t="n">
        <x:v>59.14</x:v>
      </x:c>
      <x:c r="N53" s="107" t="n">
        <x:v>3</x:v>
      </x:c>
      <x:c r="O53" s="107" t="str">
        <x:v>보통</x:v>
      </x:c>
      <x:c r="P53" s="107" t="str">
        <x:v>행동</x:v>
      </x:c>
      <x:c r="Q53" s="113" t="n">
        <x:v>0.6</x:v>
      </x:c>
      <x:c r="R53" s="113" t="n">
        <x:v>0.5714</x:v>
      </x:c>
      <x:c r="S53" s="107" t="n">
        <x:v>7</x:v>
      </x:c>
      <x:c r="T53" s="86" t="str">
        <x:f>'개인적합도'!AE53</x:f>
        <x:v>high</x:v>
      </x:c>
      <x:c r="U53" s="86" t="str">
        <x:v>medium</x:v>
      </x:c>
      <x:c r="V53" s="86" t="n">
        <x:f>IF(U53="high",IF(T53="high",3,IF(T53="medium",2,1)),IF(U53="medium",IF(T53="low",1,2),IF(T53="low",0,1)))</x:f>
        <x:v>2</x:v>
      </x:c>
      <x:c r="W53" s="89" t="n">
        <x:v>3</x:v>
      </x:c>
      <x:c r="X53" s="101" t="str">
        <x:v>2 → 3 정성 조정</x:v>
      </x:c>
      <x:c r="Y53" s="101" t="str">
        <x:v>최근 5회 오답률 60%, 누적 57.14%, 진단 N/A%로 중간 학습 필요. 가정법 직접 목표, 문제풀이 선호, 레벨과 시간이 모두 매우 적합합니다.</x:v>
      </x:c>
      <x:c r="Z53" s="101" t="str">
        <x:v>우선 검토</x:v>
      </x:c>
      <x:c r="AA53" s="101" t="str">
        <x:v>Codex 초안</x:v>
      </x:c>
      <x:c r="AB53" s="101" t="str"/>
    </x:row>
    <x:row r="54" ht="52" customHeight="1">
      <x:c r="A54" s="80" t="str">
        <x:v>user-05__content-30</x:v>
      </x:c>
      <x:c r="B54" s="80" t="str">
        <x:v>user-05</x:v>
      </x:c>
      <x:c r="C54" s="80" t="str">
        <x:v>긴 강의형</x:v>
      </x:c>
      <x:c r="D54" s="96" t="str">
        <x:v>기존 · 긴 개념 강의 선호</x:v>
      </x:c>
      <x:c r="E54" s="92" t="n">
        <x:v>3</x:v>
      </x:c>
      <x:c r="F54" s="92" t="str">
        <x:v>고급 문법 구조를 깊이 이해</x:v>
      </x:c>
      <x:c r="G54" s="83" t="str">
        <x:v>content-30</x:v>
      </x:c>
      <x:c r="H54" s="92" t="str">
        <x:v>가정법 오답 교정</x:v>
      </x:c>
      <x:c r="I54" s="83" t="str">
        <x:v>퀴즈</x:v>
      </x:c>
      <x:c r="J54" s="83" t="n">
        <x:v>2</x:v>
      </x:c>
      <x:c r="K54" s="83" t="n">
        <x:v>9</x:v>
      </x:c>
      <x:c r="L54" s="83" t="str">
        <x:v>가정법</x:v>
      </x:c>
      <x:c r="M54" s="110" t="n">
        <x:v>59.14</x:v>
      </x:c>
      <x:c r="N54" s="107" t="n">
        <x:v>3</x:v>
      </x:c>
      <x:c r="O54" s="107" t="str">
        <x:v>보통</x:v>
      </x:c>
      <x:c r="P54" s="107" t="str">
        <x:v>행동</x:v>
      </x:c>
      <x:c r="Q54" s="113" t="n">
        <x:v>0.6</x:v>
      </x:c>
      <x:c r="R54" s="113" t="n">
        <x:v>0.5714</x:v>
      </x:c>
      <x:c r="S54" s="107" t="n">
        <x:v>7</x:v>
      </x:c>
      <x:c r="T54" s="86" t="str">
        <x:f>'개인적합도'!AE54</x:f>
        <x:v>medium</x:v>
      </x:c>
      <x:c r="U54" s="86" t="str">
        <x:v>medium</x:v>
      </x:c>
      <x:c r="V54" s="86" t="n">
        <x:f>IF(U54="high",IF(T54="high",3,IF(T54="medium",2,1)),IF(U54="medium",IF(T54="low",1,2),IF(T54="low",0,1)))</x:f>
        <x:v>2</x:v>
      </x:c>
      <x:c r="W54" s="89" t="n">
        <x:v>2</x:v>
      </x:c>
      <x:c r="X54" s="101" t="str">
        <x:v>매트릭스 일치</x:v>
      </x:c>
      <x:c r="Y54" s="101" t="str">
        <x:v>최근 5회 오답률 60%, 누적 57.14%, 진단 N/A%로 중간 학습 필요. 가정법 직접 목표이나 퀴즈 선호가 낮고 깊이 학습 성향 대비 짧습니다.</x:v>
      </x:c>
      <x:c r="Z54" s="101" t="str">
        <x:v>우선 검토</x:v>
      </x:c>
      <x:c r="AA54" s="101" t="str">
        <x:v>Codex 초안</x:v>
      </x:c>
      <x:c r="AB54" s="101" t="str"/>
    </x:row>
    <x:row r="55" ht="52" customHeight="1">
      <x:c r="A55" s="80" t="str">
        <x:v>user-06__content-31</x:v>
      </x:c>
      <x:c r="B55" s="80" t="str">
        <x:v>user-06</x:v>
      </x:c>
      <x:c r="C55" s="80" t="str">
        <x:v>프로필 없음형</x:v>
      </x:c>
      <x:c r="D55" s="96" t="str">
        <x:v>기존 · 행동 프로필 없음</x:v>
      </x:c>
      <x:c r="E55" s="92" t="n">
        <x:v>2</x:v>
      </x:c>
      <x:c r="F55" s="92" t="str">
        <x:v>업무 독해의 정확도 향상</x:v>
      </x:c>
      <x:c r="G55" s="83" t="str">
        <x:v>content-31</x:v>
      </x:c>
      <x:c r="H55" s="92" t="str">
        <x:v>문맥 어휘 핵심 퀴즈</x:v>
      </x:c>
      <x:c r="I55" s="83" t="str">
        <x:v>퀴즈</x:v>
      </x:c>
      <x:c r="J55" s="83" t="n">
        <x:v>1</x:v>
      </x:c>
      <x:c r="K55" s="83" t="n">
        <x:v>6</x:v>
      </x:c>
      <x:c r="L55" s="83" t="str">
        <x:v>문맥 어휘</x:v>
      </x:c>
      <x:c r="M55" s="110" t="n">
        <x:v>77.43</x:v>
      </x:c>
      <x:c r="N55" s="107" t="n">
        <x:v>1</x:v>
      </x:c>
      <x:c r="O55" s="107" t="str">
        <x:v>보통</x:v>
      </x:c>
      <x:c r="P55" s="107" t="str">
        <x:v>행동</x:v>
      </x:c>
      <x:c r="Q55" s="113" t="n">
        <x:v>0.8</x:v>
      </x:c>
      <x:c r="R55" s="113" t="n">
        <x:v>0.7143</x:v>
      </x:c>
      <x:c r="S55" s="107" t="n">
        <x:v>7</x:v>
      </x:c>
      <x:c r="T55" s="86" t="str">
        <x:f>'개인적합도'!AE55</x:f>
        <x:v>high</x:v>
      </x:c>
      <x:c r="U55" s="86" t="str">
        <x:v>high</x:v>
      </x:c>
      <x:c r="V55" s="86" t="n">
        <x:f>IF(U55="high",IF(T55="high",3,IF(T55="medium",2,1)),IF(U55="medium",IF(T55="low",1,2),IF(T55="low",0,1)))</x:f>
        <x:v>3</x:v>
      </x:c>
      <x:c r="W55" s="89" t="n">
        <x:v>2</x:v>
      </x:c>
      <x:c r="X55" s="101" t="str">
        <x:v>3 → 2 정성 조정</x:v>
      </x:c>
      <x:c r="Y55" s="101" t="str">
        <x:v>최근 5회 오답률 80%, 누적 71.43%, 진단 N/A%로 높은 학습 필요. 문맥 어휘 목표에 직접 부합하지만 레벨 1의 기초 퀴즈라 최상위보다는 보조 추천이 적절합니다.</x:v>
      </x:c>
      <x:c r="Z55" s="101" t="str">
        <x:v>우선 검토</x:v>
      </x:c>
      <x:c r="AA55" s="101" t="str">
        <x:v>Codex 초안</x:v>
      </x:c>
      <x:c r="AB55" s="101" t="str"/>
    </x:row>
    <x:row r="56" ht="52" customHeight="1">
      <x:c r="A56" s="80" t="str">
        <x:v>user-06__content-32</x:v>
      </x:c>
      <x:c r="B56" s="80" t="str">
        <x:v>user-06</x:v>
      </x:c>
      <x:c r="C56" s="80" t="str">
        <x:v>프로필 없음형</x:v>
      </x:c>
      <x:c r="D56" s="96" t="str">
        <x:v>기존 · 행동 프로필 없음</x:v>
      </x:c>
      <x:c r="E56" s="92" t="n">
        <x:v>2</x:v>
      </x:c>
      <x:c r="F56" s="92" t="str">
        <x:v>업무 독해의 정확도 향상</x:v>
      </x:c>
      <x:c r="G56" s="83" t="str">
        <x:v>content-32</x:v>
      </x:c>
      <x:c r="H56" s="92" t="str">
        <x:v>문맥 어휘 개념 강의</x:v>
      </x:c>
      <x:c r="I56" s="83" t="str">
        <x:v>영상 강의</x:v>
      </x:c>
      <x:c r="J56" s="83" t="n">
        <x:v>2</x:v>
      </x:c>
      <x:c r="K56" s="83" t="n">
        <x:v>18</x:v>
      </x:c>
      <x:c r="L56" s="83" t="str">
        <x:v>문맥 어휘</x:v>
      </x:c>
      <x:c r="M56" s="110" t="n">
        <x:v>77.43</x:v>
      </x:c>
      <x:c r="N56" s="107" t="n">
        <x:v>1</x:v>
      </x:c>
      <x:c r="O56" s="107" t="str">
        <x:v>보통</x:v>
      </x:c>
      <x:c r="P56" s="107" t="str">
        <x:v>행동</x:v>
      </x:c>
      <x:c r="Q56" s="113" t="n">
        <x:v>0.8</x:v>
      </x:c>
      <x:c r="R56" s="113" t="n">
        <x:v>0.7143</x:v>
      </x:c>
      <x:c r="S56" s="107" t="n">
        <x:v>7</x:v>
      </x:c>
      <x:c r="T56" s="86" t="str">
        <x:f>'개인적합도'!AE56</x:f>
        <x:v>high</x:v>
      </x:c>
      <x:c r="U56" s="86" t="str">
        <x:v>high</x:v>
      </x:c>
      <x:c r="V56" s="86" t="n">
        <x:f>IF(U56="high",IF(T56="high",3,IF(T56="medium",2,1)),IF(U56="medium",IF(T56="low",1,2),IF(T56="low",0,1)))</x:f>
        <x:v>3</x:v>
      </x:c>
      <x:c r="W56" s="89" t="n">
        <x:v>2</x:v>
      </x:c>
      <x:c r="X56" s="101" t="str">
        <x:v>3 → 2 정성 조정</x:v>
      </x:c>
      <x:c r="Y56" s="101" t="str">
        <x:v>최근 5회 오답률 80%, 누적 71.43%, 진단 N/A%로 높은 학습 필요. 최상위 취약 개념이며 레벨이 맞지만 프로필이 없어 형식 선호는 판단하지 않습니다.</x:v>
      </x:c>
      <x:c r="Z56" s="101" t="str">
        <x:v>우선 검토</x:v>
      </x:c>
      <x:c r="AA56" s="101" t="str">
        <x:v>Codex 초안</x:v>
      </x:c>
      <x:c r="AB56" s="101" t="str"/>
    </x:row>
    <x:row r="57" ht="52" customHeight="1">
      <x:c r="A57" s="80" t="str">
        <x:v>user-06__content-33</x:v>
      </x:c>
      <x:c r="B57" s="80" t="str">
        <x:v>user-06</x:v>
      </x:c>
      <x:c r="C57" s="80" t="str">
        <x:v>프로필 없음형</x:v>
      </x:c>
      <x:c r="D57" s="96" t="str">
        <x:v>기존 · 행동 프로필 없음</x:v>
      </x:c>
      <x:c r="E57" s="92" t="n">
        <x:v>2</x:v>
      </x:c>
      <x:c r="F57" s="92" t="str">
        <x:v>업무 독해의 정확도 향상</x:v>
      </x:c>
      <x:c r="G57" s="83" t="str">
        <x:v>content-33</x:v>
      </x:c>
      <x:c r="H57" s="92" t="str">
        <x:v>문맥 어휘 예문 읽기</x:v>
      </x:c>
      <x:c r="I57" s="83" t="str">
        <x:v>예문 읽기</x:v>
      </x:c>
      <x:c r="J57" s="83" t="n">
        <x:v>2</x:v>
      </x:c>
      <x:c r="K57" s="83" t="n">
        <x:v>12</x:v>
      </x:c>
      <x:c r="L57" s="83" t="str">
        <x:v>문맥 어휘</x:v>
      </x:c>
      <x:c r="M57" s="110" t="n">
        <x:v>77.43</x:v>
      </x:c>
      <x:c r="N57" s="107" t="n">
        <x:v>1</x:v>
      </x:c>
      <x:c r="O57" s="107" t="str">
        <x:v>보통</x:v>
      </x:c>
      <x:c r="P57" s="107" t="str">
        <x:v>행동</x:v>
      </x:c>
      <x:c r="Q57" s="113" t="n">
        <x:v>0.8</x:v>
      </x:c>
      <x:c r="R57" s="113" t="n">
        <x:v>0.7143</x:v>
      </x:c>
      <x:c r="S57" s="107" t="n">
        <x:v>7</x:v>
      </x:c>
      <x:c r="T57" s="86" t="str">
        <x:f>'개인적합도'!AE57</x:f>
        <x:v>high</x:v>
      </x:c>
      <x:c r="U57" s="86" t="str">
        <x:v>high</x:v>
      </x:c>
      <x:c r="V57" s="86" t="n">
        <x:f>IF(U57="high",IF(T57="high",3,IF(T57="medium",2,1)),IF(U57="medium",IF(T57="low",1,2),IF(T57="low",0,1)))</x:f>
        <x:v>3</x:v>
      </x:c>
      <x:c r="W57" s="89" t="n">
        <x:v>3</x:v>
      </x:c>
      <x:c r="X57" s="101" t="str">
        <x:v>매트릭스 일치</x:v>
      </x:c>
      <x:c r="Y57" s="101" t="str">
        <x:v>최근 5회 오답률 80%, 누적 71.43%, 진단 N/A%로 높은 학습 필요. 업무 독해 목표와 문맥 어휘 예문 읽기 형식이 직접 맞고 학습 필요도도 높습니다.</x:v>
      </x:c>
      <x:c r="Z57" s="101" t="str">
        <x:v>우선 검토</x:v>
      </x:c>
      <x:c r="AA57" s="101" t="str">
        <x:v>Codex 초안</x:v>
      </x:c>
      <x:c r="AB57" s="101" t="str"/>
    </x:row>
    <x:row r="58" ht="52" customHeight="1">
      <x:c r="A58" s="80" t="str">
        <x:v>user-06__content-35</x:v>
      </x:c>
      <x:c r="B58" s="80" t="str">
        <x:v>user-06</x:v>
      </x:c>
      <x:c r="C58" s="80" t="str">
        <x:v>프로필 없음형</x:v>
      </x:c>
      <x:c r="D58" s="96" t="str">
        <x:v>기존 · 행동 프로필 없음</x:v>
      </x:c>
      <x:c r="E58" s="92" t="n">
        <x:v>2</x:v>
      </x:c>
      <x:c r="F58" s="92" t="str">
        <x:v>업무 독해의 정확도 향상</x:v>
      </x:c>
      <x:c r="G58" s="83" t="str">
        <x:v>content-35</x:v>
      </x:c>
      <x:c r="H58" s="92" t="str">
        <x:v>문맥 어휘 오답 교정</x:v>
      </x:c>
      <x:c r="I58" s="83" t="str">
        <x:v>퀴즈</x:v>
      </x:c>
      <x:c r="J58" s="83" t="n">
        <x:v>2</x:v>
      </x:c>
      <x:c r="K58" s="83" t="n">
        <x:v>9</x:v>
      </x:c>
      <x:c r="L58" s="83" t="str">
        <x:v>문맥 어휘</x:v>
      </x:c>
      <x:c r="M58" s="110" t="n">
        <x:v>77.43</x:v>
      </x:c>
      <x:c r="N58" s="107" t="n">
        <x:v>1</x:v>
      </x:c>
      <x:c r="O58" s="107" t="str">
        <x:v>보통</x:v>
      </x:c>
      <x:c r="P58" s="107" t="str">
        <x:v>행동</x:v>
      </x:c>
      <x:c r="Q58" s="113" t="n">
        <x:v>0.8</x:v>
      </x:c>
      <x:c r="R58" s="113" t="n">
        <x:v>0.7143</x:v>
      </x:c>
      <x:c r="S58" s="107" t="n">
        <x:v>7</x:v>
      </x:c>
      <x:c r="T58" s="86" t="str">
        <x:f>'개인적합도'!AE58</x:f>
        <x:v>high</x:v>
      </x:c>
      <x:c r="U58" s="86" t="str">
        <x:v>high</x:v>
      </x:c>
      <x:c r="V58" s="86" t="n">
        <x:f>IF(U58="high",IF(T58="high",3,IF(T58="medium",2,1)),IF(U58="medium",IF(T58="low",1,2),IF(T58="low",0,1)))</x:f>
        <x:v>3</x:v>
      </x:c>
      <x:c r="W58" s="89" t="n">
        <x:v>3</x:v>
      </x:c>
      <x:c r="X58" s="101" t="str">
        <x:v>매트릭스 일치</x:v>
      </x:c>
      <x:c r="Y58" s="101" t="str">
        <x:v>최근 5회 오답률 80%, 누적 71.43%, 진단 N/A%로 높은 학습 필요. 최상위 문맥 어휘 취약을 레벨 2에서 직접 교정하는 콘텐츠입니다.</x:v>
      </x:c>
      <x:c r="Z58" s="101" t="str">
        <x:v>우선 검토</x:v>
      </x:c>
      <x:c r="AA58" s="101" t="str">
        <x:v>Codex 초안</x:v>
      </x:c>
      <x:c r="AB58" s="101" t="str"/>
    </x:row>
    <x:row r="59" ht="52" customHeight="1">
      <x:c r="A59" s="80" t="str">
        <x:v>user-06__content-36</x:v>
      </x:c>
      <x:c r="B59" s="80" t="str">
        <x:v>user-06</x:v>
      </x:c>
      <x:c r="C59" s="80" t="str">
        <x:v>프로필 없음형</x:v>
      </x:c>
      <x:c r="D59" s="96" t="str">
        <x:v>기존 · 행동 프로필 없음</x:v>
      </x:c>
      <x:c r="E59" s="92" t="n">
        <x:v>2</x:v>
      </x:c>
      <x:c r="F59" s="92" t="str">
        <x:v>업무 독해의 정확도 향상</x:v>
      </x:c>
      <x:c r="G59" s="83" t="str">
        <x:v>content-36</x:v>
      </x:c>
      <x:c r="H59" s="92" t="str">
        <x:v>독해 추론 핵심 퀴즈</x:v>
      </x:c>
      <x:c r="I59" s="83" t="str">
        <x:v>퀴즈</x:v>
      </x:c>
      <x:c r="J59" s="83" t="n">
        <x:v>1</x:v>
      </x:c>
      <x:c r="K59" s="83" t="n">
        <x:v>6</x:v>
      </x:c>
      <x:c r="L59" s="83" t="str">
        <x:v>독해 추론</x:v>
      </x:c>
      <x:c r="M59" s="110" t="n">
        <x:v>59.14</x:v>
      </x:c>
      <x:c r="N59" s="107" t="n">
        <x:v>2</x:v>
      </x:c>
      <x:c r="O59" s="107" t="str">
        <x:v>보통</x:v>
      </x:c>
      <x:c r="P59" s="107" t="str">
        <x:v>행동</x:v>
      </x:c>
      <x:c r="Q59" s="113" t="n">
        <x:v>0.6</x:v>
      </x:c>
      <x:c r="R59" s="113" t="n">
        <x:v>0.5714</x:v>
      </x:c>
      <x:c r="S59" s="107" t="n">
        <x:v>7</x:v>
      </x:c>
      <x:c r="T59" s="86" t="str">
        <x:f>'개인적합도'!AE59</x:f>
        <x:v>high</x:v>
      </x:c>
      <x:c r="U59" s="86" t="str">
        <x:v>medium</x:v>
      </x:c>
      <x:c r="V59" s="86" t="n">
        <x:f>IF(U59="high",IF(T59="high",3,IF(T59="medium",2,1)),IF(U59="medium",IF(T59="low",1,2),IF(T59="low",0,1)))</x:f>
        <x:v>2</x:v>
      </x:c>
      <x:c r="W59" s="89" t="n">
        <x:v>2</x:v>
      </x:c>
      <x:c r="X59" s="101" t="str">
        <x:v>매트릭스 일치</x:v>
      </x:c>
      <x:c r="Y59" s="101" t="str">
        <x:v>최근 5회 오답률 60%, 누적 57.14%, 진단 N/A%로 중간 학습 필요. 독해 추론 목표에 직접 부합하지만 레벨 1의 기초 퀴즈입니다.</x:v>
      </x:c>
      <x:c r="Z59" s="101" t="str">
        <x:v>우선 검토</x:v>
      </x:c>
      <x:c r="AA59" s="101" t="str">
        <x:v>Codex 초안</x:v>
      </x:c>
      <x:c r="AB59" s="101" t="str"/>
    </x:row>
    <x:row r="60" ht="52" customHeight="1">
      <x:c r="A60" s="80" t="str">
        <x:v>user-06__content-37</x:v>
      </x:c>
      <x:c r="B60" s="80" t="str">
        <x:v>user-06</x:v>
      </x:c>
      <x:c r="C60" s="80" t="str">
        <x:v>프로필 없음형</x:v>
      </x:c>
      <x:c r="D60" s="96" t="str">
        <x:v>기존 · 행동 프로필 없음</x:v>
      </x:c>
      <x:c r="E60" s="92" t="n">
        <x:v>2</x:v>
      </x:c>
      <x:c r="F60" s="92" t="str">
        <x:v>업무 독해의 정확도 향상</x:v>
      </x:c>
      <x:c r="G60" s="83" t="str">
        <x:v>content-37</x:v>
      </x:c>
      <x:c r="H60" s="92" t="str">
        <x:v>독해 추론 개념 강의</x:v>
      </x:c>
      <x:c r="I60" s="83" t="str">
        <x:v>영상 강의</x:v>
      </x:c>
      <x:c r="J60" s="83" t="n">
        <x:v>2</x:v>
      </x:c>
      <x:c r="K60" s="83" t="n">
        <x:v>18</x:v>
      </x:c>
      <x:c r="L60" s="83" t="str">
        <x:v>독해 추론</x:v>
      </x:c>
      <x:c r="M60" s="110" t="n">
        <x:v>59.14</x:v>
      </x:c>
      <x:c r="N60" s="107" t="n">
        <x:v>2</x:v>
      </x:c>
      <x:c r="O60" s="107" t="str">
        <x:v>보통</x:v>
      </x:c>
      <x:c r="P60" s="107" t="str">
        <x:v>행동</x:v>
      </x:c>
      <x:c r="Q60" s="113" t="n">
        <x:v>0.6</x:v>
      </x:c>
      <x:c r="R60" s="113" t="n">
        <x:v>0.5714</x:v>
      </x:c>
      <x:c r="S60" s="107" t="n">
        <x:v>7</x:v>
      </x:c>
      <x:c r="T60" s="86" t="str">
        <x:f>'개인적합도'!AE60</x:f>
        <x:v>high</x:v>
      </x:c>
      <x:c r="U60" s="86" t="str">
        <x:v>medium</x:v>
      </x:c>
      <x:c r="V60" s="86" t="n">
        <x:f>IF(U60="high",IF(T60="high",3,IF(T60="medium",2,1)),IF(U60="medium",IF(T60="low",1,2),IF(T60="low",0,1)))</x:f>
        <x:v>2</x:v>
      </x:c>
      <x:c r="W60" s="89" t="n">
        <x:v>2</x:v>
      </x:c>
      <x:c r="X60" s="101" t="str">
        <x:v>매트릭스 일치</x:v>
      </x:c>
      <x:c r="Y60" s="101" t="str">
        <x:v>최근 5회 오답률 60%, 누적 57.14%, 진단 N/A%로 중간 학습 필요. 독해 추론 목표와 수준이 맞지만 취약 우선순위는 두 번째입니다.</x:v>
      </x:c>
      <x:c r="Z60" s="101" t="str">
        <x:v>우선 검토</x:v>
      </x:c>
      <x:c r="AA60" s="101" t="str">
        <x:v>Codex 초안</x:v>
      </x:c>
      <x:c r="AB60" s="101" t="str"/>
    </x:row>
    <x:row r="61" ht="52" customHeight="1">
      <x:c r="A61" s="80" t="str">
        <x:v>user-06__content-38</x:v>
      </x:c>
      <x:c r="B61" s="80" t="str">
        <x:v>user-06</x:v>
      </x:c>
      <x:c r="C61" s="80" t="str">
        <x:v>프로필 없음형</x:v>
      </x:c>
      <x:c r="D61" s="96" t="str">
        <x:v>기존 · 행동 프로필 없음</x:v>
      </x:c>
      <x:c r="E61" s="92" t="n">
        <x:v>2</x:v>
      </x:c>
      <x:c r="F61" s="92" t="str">
        <x:v>업무 독해의 정확도 향상</x:v>
      </x:c>
      <x:c r="G61" s="83" t="str">
        <x:v>content-38</x:v>
      </x:c>
      <x:c r="H61" s="92" t="str">
        <x:v>독해 추론 예문 읽기</x:v>
      </x:c>
      <x:c r="I61" s="83" t="str">
        <x:v>예문 읽기</x:v>
      </x:c>
      <x:c r="J61" s="83" t="n">
        <x:v>2</x:v>
      </x:c>
      <x:c r="K61" s="83" t="n">
        <x:v>12</x:v>
      </x:c>
      <x:c r="L61" s="83" t="str">
        <x:v>독해 추론</x:v>
      </x:c>
      <x:c r="M61" s="110" t="n">
        <x:v>59.14</x:v>
      </x:c>
      <x:c r="N61" s="107" t="n">
        <x:v>2</x:v>
      </x:c>
      <x:c r="O61" s="107" t="str">
        <x:v>보통</x:v>
      </x:c>
      <x:c r="P61" s="107" t="str">
        <x:v>행동</x:v>
      </x:c>
      <x:c r="Q61" s="113" t="n">
        <x:v>0.6</x:v>
      </x:c>
      <x:c r="R61" s="113" t="n">
        <x:v>0.5714</x:v>
      </x:c>
      <x:c r="S61" s="107" t="n">
        <x:v>7</x:v>
      </x:c>
      <x:c r="T61" s="86" t="str">
        <x:f>'개인적합도'!AE61</x:f>
        <x:v>high</x:v>
      </x:c>
      <x:c r="U61" s="86" t="str">
        <x:v>medium</x:v>
      </x:c>
      <x:c r="V61" s="86" t="n">
        <x:f>IF(U61="high",IF(T61="high",3,IF(T61="medium",2,1)),IF(U61="medium",IF(T61="low",1,2),IF(T61="low",0,1)))</x:f>
        <x:v>2</x:v>
      </x:c>
      <x:c r="W61" s="89" t="n">
        <x:v>3</x:v>
      </x:c>
      <x:c r="X61" s="101" t="str">
        <x:v>2 → 3 정성 조정</x:v>
      </x:c>
      <x:c r="Y61" s="101" t="str">
        <x:v>최근 5회 오답률 60%, 누적 57.14%, 진단 N/A%로 중간 학습 필요. 업무 독해와 추론 목표에 직접 맞는 예문 읽기 콘텐츠입니다.</x:v>
      </x:c>
      <x:c r="Z61" s="101" t="str">
        <x:v>우선 검토</x:v>
      </x:c>
      <x:c r="AA61" s="101" t="str">
        <x:v>Codex 초안</x:v>
      </x:c>
      <x:c r="AB61" s="101" t="str"/>
    </x:row>
    <x:row r="62" ht="52" customHeight="1">
      <x:c r="A62" s="80" t="str">
        <x:v>user-06__content-39</x:v>
      </x:c>
      <x:c r="B62" s="80" t="str">
        <x:v>user-06</x:v>
      </x:c>
      <x:c r="C62" s="80" t="str">
        <x:v>프로필 없음형</x:v>
      </x:c>
      <x:c r="D62" s="96" t="str">
        <x:v>기존 · 행동 프로필 없음</x:v>
      </x:c>
      <x:c r="E62" s="92" t="n">
        <x:v>2</x:v>
      </x:c>
      <x:c r="F62" s="92" t="str">
        <x:v>업무 독해의 정확도 향상</x:v>
      </x:c>
      <x:c r="G62" s="83" t="str">
        <x:v>content-39</x:v>
      </x:c>
      <x:c r="H62" s="92" t="str">
        <x:v>독해 추론 심화 문제</x:v>
      </x:c>
      <x:c r="I62" s="83" t="str">
        <x:v>심화 문제</x:v>
      </x:c>
      <x:c r="J62" s="83" t="n">
        <x:v>3</x:v>
      </x:c>
      <x:c r="K62" s="83" t="n">
        <x:v>22</x:v>
      </x:c>
      <x:c r="L62" s="83" t="str">
        <x:v>독해 추론</x:v>
      </x:c>
      <x:c r="M62" s="110" t="n">
        <x:v>59.14</x:v>
      </x:c>
      <x:c r="N62" s="107" t="n">
        <x:v>2</x:v>
      </x:c>
      <x:c r="O62" s="107" t="str">
        <x:v>보통</x:v>
      </x:c>
      <x:c r="P62" s="107" t="str">
        <x:v>행동</x:v>
      </x:c>
      <x:c r="Q62" s="113" t="n">
        <x:v>0.6</x:v>
      </x:c>
      <x:c r="R62" s="113" t="n">
        <x:v>0.5714</x:v>
      </x:c>
      <x:c r="S62" s="107" t="n">
        <x:v>7</x:v>
      </x:c>
      <x:c r="T62" s="86" t="str">
        <x:f>'개인적합도'!AE62</x:f>
        <x:v>medium</x:v>
      </x:c>
      <x:c r="U62" s="86" t="str">
        <x:v>medium</x:v>
      </x:c>
      <x:c r="V62" s="86" t="n">
        <x:f>IF(U62="high",IF(T62="high",3,IF(T62="medium",2,1)),IF(U62="medium",IF(T62="low",1,2),IF(T62="low",0,1)))</x:f>
        <x:v>2</x:v>
      </x:c>
      <x:c r="W62" s="89" t="n">
        <x:v>1</x:v>
      </x:c>
      <x:c r="X62" s="101" t="str">
        <x:v>2 → 1 정성 조정</x:v>
      </x:c>
      <x:c r="Y62" s="101" t="str">
        <x:v>최근 5회 오답률 60%, 누적 57.14%, 진단 N/A%로 중간 학습 필요. 독해 추론 목표에는 맞지만 레벨 3의 22분 심화 과제라 후순위입니다.</x:v>
      </x:c>
      <x:c r="Z62" s="101" t="str">
        <x:v>우선 검토</x:v>
      </x:c>
      <x:c r="AA62" s="101" t="str">
        <x:v>Codex 초안</x:v>
      </x:c>
      <x:c r="AB62" s="101" t="str"/>
    </x:row>
    <x:row r="63" ht="52" customHeight="1">
      <x:c r="A63" s="80" t="str">
        <x:v>user-06__content-40</x:v>
      </x:c>
      <x:c r="B63" s="80" t="str">
        <x:v>user-06</x:v>
      </x:c>
      <x:c r="C63" s="80" t="str">
        <x:v>프로필 없음형</x:v>
      </x:c>
      <x:c r="D63" s="96" t="str">
        <x:v>기존 · 행동 프로필 없음</x:v>
      </x:c>
      <x:c r="E63" s="92" t="n">
        <x:v>2</x:v>
      </x:c>
      <x:c r="F63" s="92" t="str">
        <x:v>업무 독해의 정확도 향상</x:v>
      </x:c>
      <x:c r="G63" s="83" t="str">
        <x:v>content-40</x:v>
      </x:c>
      <x:c r="H63" s="92" t="str">
        <x:v>독해 추론 오답 교정</x:v>
      </x:c>
      <x:c r="I63" s="83" t="str">
        <x:v>퀴즈</x:v>
      </x:c>
      <x:c r="J63" s="83" t="n">
        <x:v>2</x:v>
      </x:c>
      <x:c r="K63" s="83" t="n">
        <x:v>9</x:v>
      </x:c>
      <x:c r="L63" s="83" t="str">
        <x:v>독해 추론</x:v>
      </x:c>
      <x:c r="M63" s="110" t="n">
        <x:v>59.14</x:v>
      </x:c>
      <x:c r="N63" s="107" t="n">
        <x:v>2</x:v>
      </x:c>
      <x:c r="O63" s="107" t="str">
        <x:v>보통</x:v>
      </x:c>
      <x:c r="P63" s="107" t="str">
        <x:v>행동</x:v>
      </x:c>
      <x:c r="Q63" s="113" t="n">
        <x:v>0.6</x:v>
      </x:c>
      <x:c r="R63" s="113" t="n">
        <x:v>0.5714</x:v>
      </x:c>
      <x:c r="S63" s="107" t="n">
        <x:v>7</x:v>
      </x:c>
      <x:c r="T63" s="86" t="str">
        <x:f>'개인적합도'!AE63</x:f>
        <x:v>high</x:v>
      </x:c>
      <x:c r="U63" s="86" t="str">
        <x:v>medium</x:v>
      </x:c>
      <x:c r="V63" s="86" t="n">
        <x:f>IF(U63="high",IF(T63="high",3,IF(T63="medium",2,1)),IF(U63="medium",IF(T63="low",1,2),IF(T63="low",0,1)))</x:f>
        <x:v>2</x:v>
      </x:c>
      <x:c r="W63" s="89" t="n">
        <x:v>2</x:v>
      </x:c>
      <x:c r="X63" s="101" t="str">
        <x:v>매트릭스 일치</x:v>
      </x:c>
      <x:c r="Y63" s="101" t="str">
        <x:v>최근 5회 오답률 60%, 누적 57.14%, 진단 N/A%로 중간 학습 필요. 독해 추론 목표와 수준이 맞는 직접 교정 콘텐츠입니다.</x:v>
      </x:c>
      <x:c r="Z63" s="101" t="str">
        <x:v>우선 검토</x:v>
      </x:c>
      <x:c r="AA63" s="101" t="str">
        <x:v>Codex 초안</x:v>
      </x:c>
      <x:c r="AB63" s="101" t="str"/>
    </x:row>
    <x:row r="64" ht="52" customHeight="1">
      <x:c r="A64" s="80" t="str">
        <x:v>user-06__content-21</x:v>
      </x:c>
      <x:c r="B64" s="80" t="str">
        <x:v>user-06</x:v>
      </x:c>
      <x:c r="C64" s="80" t="str">
        <x:v>프로필 없음형</x:v>
      </x:c>
      <x:c r="D64" s="96" t="str">
        <x:v>기존 · 행동 프로필 없음</x:v>
      </x:c>
      <x:c r="E64" s="92" t="n">
        <x:v>2</x:v>
      </x:c>
      <x:c r="F64" s="92" t="str">
        <x:v>업무 독해의 정확도 향상</x:v>
      </x:c>
      <x:c r="G64" s="83" t="str">
        <x:v>content-21</x:v>
      </x:c>
      <x:c r="H64" s="92" t="str">
        <x:v>관계대명사 핵심 퀴즈</x:v>
      </x:c>
      <x:c r="I64" s="83" t="str">
        <x:v>퀴즈</x:v>
      </x:c>
      <x:c r="J64" s="83" t="n">
        <x:v>1</x:v>
      </x:c>
      <x:c r="K64" s="83" t="n">
        <x:v>6</x:v>
      </x:c>
      <x:c r="L64" s="83" t="str">
        <x:v>관계대명사</x:v>
      </x:c>
      <x:c r="M64" s="110" t="n">
        <x:v>40.86</x:v>
      </x:c>
      <x:c r="N64" s="107" t="n">
        <x:v>3</x:v>
      </x:c>
      <x:c r="O64" s="107" t="str">
        <x:v>보통</x:v>
      </x:c>
      <x:c r="P64" s="107" t="str">
        <x:v>행동</x:v>
      </x:c>
      <x:c r="Q64" s="113" t="n">
        <x:v>0.4</x:v>
      </x:c>
      <x:c r="R64" s="113" t="n">
        <x:v>0.4286</x:v>
      </x:c>
      <x:c r="S64" s="107" t="n">
        <x:v>7</x:v>
      </x:c>
      <x:c r="T64" s="86" t="str">
        <x:f>'개인적합도'!AE64</x:f>
        <x:v>medium</x:v>
      </x:c>
      <x:c r="U64" s="86" t="str">
        <x:v>medium</x:v>
      </x:c>
      <x:c r="V64" s="86" t="n">
        <x:f>IF(U64="high",IF(T64="high",3,IF(T64="medium",2,1)),IF(U64="medium",IF(T64="low",1,2),IF(T64="low",0,1)))</x:f>
        <x:v>2</x:v>
      </x:c>
      <x:c r="W64" s="89" t="n">
        <x:v>1</x:v>
      </x:c>
      <x:c r="X64" s="101" t="str">
        <x:v>2 → 1 정성 조정</x:v>
      </x:c>
      <x:c r="Y64" s="101" t="str">
        <x:v>최근 5회 오답률 40%, 누적 42.86%, 진단 N/A%로 중간 학습 필요. 관계대명사는 독해에 간접 도움은 되지만 목표가 비직접적이고 취약도도 가장 낮습니다.</x:v>
      </x:c>
      <x:c r="Z64" s="101" t="str">
        <x:v>우선 검토</x:v>
      </x:c>
      <x:c r="AA64" s="101" t="str">
        <x:v>Codex 초안</x:v>
      </x:c>
      <x:c r="AB64" s="101" t="str"/>
    </x:row>
    <x:row r="65" ht="52" customHeight="1">
      <x:c r="A65" s="80" t="str">
        <x:v>user-07__content-26</x:v>
      </x:c>
      <x:c r="B65" s="80" t="str">
        <x:v>user-07</x:v>
      </x:c>
      <x:c r="C65" s="80" t="str">
        <x:v>최근 하락형</x:v>
      </x:c>
      <x:c r="D65" s="96" t="str">
        <x:v>기존 · 최근 5회 성적 급락</x:v>
      </x:c>
      <x:c r="E65" s="92" t="n">
        <x:v>2</x:v>
      </x:c>
      <x:c r="F65" s="92" t="str">
        <x:v>가정법과 시제 실수 회복</x:v>
      </x:c>
      <x:c r="G65" s="83" t="str">
        <x:v>content-26</x:v>
      </x:c>
      <x:c r="H65" s="92" t="str">
        <x:v>가정법 핵심 퀴즈</x:v>
      </x:c>
      <x:c r="I65" s="83" t="str">
        <x:v>퀴즈</x:v>
      </x:c>
      <x:c r="J65" s="83" t="n">
        <x:v>1</x:v>
      </x:c>
      <x:c r="K65" s="83" t="n">
        <x:v>6</x:v>
      </x:c>
      <x:c r="L65" s="83" t="str">
        <x:v>가정법</x:v>
      </x:c>
      <x:c r="M65" s="110" t="n">
        <x:v>92.5</x:v>
      </x:c>
      <x:c r="N65" s="107" t="n">
        <x:v>1</x:v>
      </x:c>
      <x:c r="O65" s="107" t="str">
        <x:v>보통</x:v>
      </x:c>
      <x:c r="P65" s="107" t="str">
        <x:v>행동</x:v>
      </x:c>
      <x:c r="Q65" s="113" t="n">
        <x:v>1</x:v>
      </x:c>
      <x:c r="R65" s="113" t="n">
        <x:v>0.75</x:v>
      </x:c>
      <x:c r="S65" s="107" t="n">
        <x:v>8</x:v>
      </x:c>
      <x:c r="T65" s="86" t="str">
        <x:f>'개인적합도'!AE65</x:f>
        <x:v>high</x:v>
      </x:c>
      <x:c r="U65" s="86" t="str">
        <x:v>high</x:v>
      </x:c>
      <x:c r="V65" s="86" t="n">
        <x:f>IF(U65="high",IF(T65="high",3,IF(T65="medium",2,1)),IF(U65="medium",IF(T65="low",1,2),IF(T65="low",0,1)))</x:f>
        <x:v>3</x:v>
      </x:c>
      <x:c r="W65" s="89" t="n">
        <x:v>2</x:v>
      </x:c>
      <x:c r="X65" s="101" t="str">
        <x:v>3 → 2 정성 조정</x:v>
      </x:c>
      <x:c r="Y65" s="101" t="str">
        <x:v>최근 5회 오답률 100%, 누적 75%, 진단 N/A%로 높은 학습 필요. 가정법 목표와 퀴즈 선호가 맞지만 레벨 1의 기초 콘텐츠입니다.</x:v>
      </x:c>
      <x:c r="Z65" s="101" t="str">
        <x:v>우선 검토</x:v>
      </x:c>
      <x:c r="AA65" s="101" t="str">
        <x:v>Codex 초안</x:v>
      </x:c>
      <x:c r="AB65" s="101" t="str"/>
    </x:row>
    <x:row r="66" ht="52" customHeight="1">
      <x:c r="A66" s="80" t="str">
        <x:v>user-07__content-27</x:v>
      </x:c>
      <x:c r="B66" s="80" t="str">
        <x:v>user-07</x:v>
      </x:c>
      <x:c r="C66" s="80" t="str">
        <x:v>최근 하락형</x:v>
      </x:c>
      <x:c r="D66" s="96" t="str">
        <x:v>기존 · 최근 5회 성적 급락</x:v>
      </x:c>
      <x:c r="E66" s="92" t="n">
        <x:v>2</x:v>
      </x:c>
      <x:c r="F66" s="92" t="str">
        <x:v>가정법과 시제 실수 회복</x:v>
      </x:c>
      <x:c r="G66" s="83" t="str">
        <x:v>content-27</x:v>
      </x:c>
      <x:c r="H66" s="92" t="str">
        <x:v>가정법 개념 강의</x:v>
      </x:c>
      <x:c r="I66" s="83" t="str">
        <x:v>영상 강의</x:v>
      </x:c>
      <x:c r="J66" s="83" t="n">
        <x:v>2</x:v>
      </x:c>
      <x:c r="K66" s="83" t="n">
        <x:v>18</x:v>
      </x:c>
      <x:c r="L66" s="83" t="str">
        <x:v>가정법</x:v>
      </x:c>
      <x:c r="M66" s="110" t="n">
        <x:v>92.5</x:v>
      </x:c>
      <x:c r="N66" s="107" t="n">
        <x:v>1</x:v>
      </x:c>
      <x:c r="O66" s="107" t="str">
        <x:v>보통</x:v>
      </x:c>
      <x:c r="P66" s="107" t="str">
        <x:v>행동</x:v>
      </x:c>
      <x:c r="Q66" s="113" t="n">
        <x:v>1</x:v>
      </x:c>
      <x:c r="R66" s="113" t="n">
        <x:v>0.75</x:v>
      </x:c>
      <x:c r="S66" s="107" t="n">
        <x:v>8</x:v>
      </x:c>
      <x:c r="T66" s="86" t="str">
        <x:f>'개인적합도'!AE66</x:f>
        <x:v>high</x:v>
      </x:c>
      <x:c r="U66" s="86" t="str">
        <x:v>high</x:v>
      </x:c>
      <x:c r="V66" s="86" t="n">
        <x:f>IF(U66="high",IF(T66="high",3,IF(T66="medium",2,1)),IF(U66="medium",IF(T66="low",1,2),IF(T66="low",0,1)))</x:f>
        <x:v>3</x:v>
      </x:c>
      <x:c r="W66" s="89" t="n">
        <x:v>2</x:v>
      </x:c>
      <x:c r="X66" s="101" t="str">
        <x:v>3 → 2 정성 조정</x:v>
      </x:c>
      <x:c r="Y66" s="101" t="str">
        <x:v>최근 5회 오답률 100%, 누적 75%, 진단 N/A%로 높은 학습 필요. 가정법 직접 목표이며 18분, 레벨 2, 영상 완료 이력이 잘 맞습니다.</x:v>
      </x:c>
      <x:c r="Z66" s="101" t="str">
        <x:v>우선 검토</x:v>
      </x:c>
      <x:c r="AA66" s="101" t="str">
        <x:v>Codex 초안</x:v>
      </x:c>
      <x:c r="AB66" s="101" t="str"/>
    </x:row>
    <x:row r="67" ht="52" customHeight="1">
      <x:c r="A67" s="80" t="str">
        <x:v>user-07__content-28</x:v>
      </x:c>
      <x:c r="B67" s="80" t="str">
        <x:v>user-07</x:v>
      </x:c>
      <x:c r="C67" s="80" t="str">
        <x:v>최근 하락형</x:v>
      </x:c>
      <x:c r="D67" s="96" t="str">
        <x:v>기존 · 최근 5회 성적 급락</x:v>
      </x:c>
      <x:c r="E67" s="92" t="n">
        <x:v>2</x:v>
      </x:c>
      <x:c r="F67" s="92" t="str">
        <x:v>가정법과 시제 실수 회복</x:v>
      </x:c>
      <x:c r="G67" s="83" t="str">
        <x:v>content-28</x:v>
      </x:c>
      <x:c r="H67" s="92" t="str">
        <x:v>가정법 예문 읽기</x:v>
      </x:c>
      <x:c r="I67" s="83" t="str">
        <x:v>예문 읽기</x:v>
      </x:c>
      <x:c r="J67" s="83" t="n">
        <x:v>2</x:v>
      </x:c>
      <x:c r="K67" s="83" t="n">
        <x:v>12</x:v>
      </x:c>
      <x:c r="L67" s="83" t="str">
        <x:v>가정법</x:v>
      </x:c>
      <x:c r="M67" s="110" t="n">
        <x:v>92.5</x:v>
      </x:c>
      <x:c r="N67" s="107" t="n">
        <x:v>1</x:v>
      </x:c>
      <x:c r="O67" s="107" t="str">
        <x:v>보통</x:v>
      </x:c>
      <x:c r="P67" s="107" t="str">
        <x:v>행동</x:v>
      </x:c>
      <x:c r="Q67" s="113" t="n">
        <x:v>1</x:v>
      </x:c>
      <x:c r="R67" s="113" t="n">
        <x:v>0.75</x:v>
      </x:c>
      <x:c r="S67" s="107" t="n">
        <x:v>8</x:v>
      </x:c>
      <x:c r="T67" s="86" t="str">
        <x:f>'개인적합도'!AE67</x:f>
        <x:v>medium</x:v>
      </x:c>
      <x:c r="U67" s="86" t="str">
        <x:v>high</x:v>
      </x:c>
      <x:c r="V67" s="86" t="n">
        <x:f>IF(U67="high",IF(T67="high",3,IF(T67="medium",2,1)),IF(U67="medium",IF(T67="low",1,2),IF(T67="low",0,1)))</x:f>
        <x:v>2</x:v>
      </x:c>
      <x:c r="W67" s="89" t="n">
        <x:v>2</x:v>
      </x:c>
      <x:c r="X67" s="101" t="str">
        <x:v>매트릭스 일치</x:v>
      </x:c>
      <x:c r="Y67" s="101" t="str">
        <x:v>최근 5회 오답률 100%, 누적 75%, 진단 N/A%로 높은 학습 필요. 가정법 학습 필요는 매우 높지만 읽기 유형 선호 근거가 약합니다.</x:v>
      </x:c>
      <x:c r="Z67" s="101" t="str">
        <x:v>우선 검토</x:v>
      </x:c>
      <x:c r="AA67" s="101" t="str">
        <x:v>Codex 초안</x:v>
      </x:c>
      <x:c r="AB67" s="101" t="str"/>
    </x:row>
    <x:row r="68" ht="52" customHeight="1">
      <x:c r="A68" s="80" t="str">
        <x:v>user-07__content-29</x:v>
      </x:c>
      <x:c r="B68" s="80" t="str">
        <x:v>user-07</x:v>
      </x:c>
      <x:c r="C68" s="80" t="str">
        <x:v>최근 하락형</x:v>
      </x:c>
      <x:c r="D68" s="96" t="str">
        <x:v>기존 · 최근 5회 성적 급락</x:v>
      </x:c>
      <x:c r="E68" s="92" t="n">
        <x:v>2</x:v>
      </x:c>
      <x:c r="F68" s="92" t="str">
        <x:v>가정법과 시제 실수 회복</x:v>
      </x:c>
      <x:c r="G68" s="83" t="str">
        <x:v>content-29</x:v>
      </x:c>
      <x:c r="H68" s="92" t="str">
        <x:v>가정법 심화 문제</x:v>
      </x:c>
      <x:c r="I68" s="83" t="str">
        <x:v>심화 문제</x:v>
      </x:c>
      <x:c r="J68" s="83" t="n">
        <x:v>3</x:v>
      </x:c>
      <x:c r="K68" s="83" t="n">
        <x:v>22</x:v>
      </x:c>
      <x:c r="L68" s="83" t="str">
        <x:v>가정법</x:v>
      </x:c>
      <x:c r="M68" s="110" t="n">
        <x:v>92.5</x:v>
      </x:c>
      <x:c r="N68" s="107" t="n">
        <x:v>1</x:v>
      </x:c>
      <x:c r="O68" s="107" t="str">
        <x:v>보통</x:v>
      </x:c>
      <x:c r="P68" s="107" t="str">
        <x:v>행동</x:v>
      </x:c>
      <x:c r="Q68" s="113" t="n">
        <x:v>1</x:v>
      </x:c>
      <x:c r="R68" s="113" t="n">
        <x:v>0.75</x:v>
      </x:c>
      <x:c r="S68" s="107" t="n">
        <x:v>8</x:v>
      </x:c>
      <x:c r="T68" s="86" t="str">
        <x:f>'개인적합도'!AE68</x:f>
        <x:v>high</x:v>
      </x:c>
      <x:c r="U68" s="86" t="str">
        <x:v>high</x:v>
      </x:c>
      <x:c r="V68" s="86" t="n">
        <x:f>IF(U68="high",IF(T68="high",3,IF(T68="medium",2,1)),IF(U68="medium",IF(T68="low",1,2),IF(T68="low",0,1)))</x:f>
        <x:v>3</x:v>
      </x:c>
      <x:c r="W68" s="89" t="n">
        <x:v>3</x:v>
      </x:c>
      <x:c r="X68" s="101" t="str">
        <x:v>매트릭스 일치</x:v>
      </x:c>
      <x:c r="Y68" s="101" t="str">
        <x:v>최근 5회 오답률 100%, 누적 75%, 진단 N/A%로 높은 학습 필요. 문제풀이 선호와 최근 급락한 가정법 개념의 집중 연습이 맞습니다.</x:v>
      </x:c>
      <x:c r="Z68" s="101" t="str">
        <x:v>일반</x:v>
      </x:c>
      <x:c r="AA68" s="101" t="str">
        <x:v>Codex 초안</x:v>
      </x:c>
      <x:c r="AB68" s="101" t="str"/>
    </x:row>
    <x:row r="69" ht="52" customHeight="1">
      <x:c r="A69" s="80" t="str">
        <x:v>user-07__content-30</x:v>
      </x:c>
      <x:c r="B69" s="80" t="str">
        <x:v>user-07</x:v>
      </x:c>
      <x:c r="C69" s="80" t="str">
        <x:v>최근 하락형</x:v>
      </x:c>
      <x:c r="D69" s="96" t="str">
        <x:v>기존 · 최근 5회 성적 급락</x:v>
      </x:c>
      <x:c r="E69" s="92" t="n">
        <x:v>2</x:v>
      </x:c>
      <x:c r="F69" s="92" t="str">
        <x:v>가정법과 시제 실수 회복</x:v>
      </x:c>
      <x:c r="G69" s="83" t="str">
        <x:v>content-30</x:v>
      </x:c>
      <x:c r="H69" s="92" t="str">
        <x:v>가정법 오답 교정</x:v>
      </x:c>
      <x:c r="I69" s="83" t="str">
        <x:v>퀴즈</x:v>
      </x:c>
      <x:c r="J69" s="83" t="n">
        <x:v>2</x:v>
      </x:c>
      <x:c r="K69" s="83" t="n">
        <x:v>9</x:v>
      </x:c>
      <x:c r="L69" s="83" t="str">
        <x:v>가정법</x:v>
      </x:c>
      <x:c r="M69" s="110" t="n">
        <x:v>92.5</x:v>
      </x:c>
      <x:c r="N69" s="107" t="n">
        <x:v>1</x:v>
      </x:c>
      <x:c r="O69" s="107" t="str">
        <x:v>보통</x:v>
      </x:c>
      <x:c r="P69" s="107" t="str">
        <x:v>행동</x:v>
      </x:c>
      <x:c r="Q69" s="113" t="n">
        <x:v>1</x:v>
      </x:c>
      <x:c r="R69" s="113" t="n">
        <x:v>0.75</x:v>
      </x:c>
      <x:c r="S69" s="107" t="n">
        <x:v>8</x:v>
      </x:c>
      <x:c r="T69" s="86" t="str">
        <x:f>'개인적합도'!AE69</x:f>
        <x:v>high</x:v>
      </x:c>
      <x:c r="U69" s="86" t="str">
        <x:v>high</x:v>
      </x:c>
      <x:c r="V69" s="86" t="n">
        <x:f>IF(U69="high",IF(T69="high",3,IF(T69="medium",2,1)),IF(U69="medium",IF(T69="low",1,2),IF(T69="low",0,1)))</x:f>
        <x:v>3</x:v>
      </x:c>
      <x:c r="W69" s="89" t="n">
        <x:v>3</x:v>
      </x:c>
      <x:c r="X69" s="101" t="str">
        <x:v>매트릭스 일치</x:v>
      </x:c>
      <x:c r="Y69" s="101" t="str">
        <x:v>최근 5회 오답률 100%, 누적 75%, 진단 N/A%로 높은 학습 필요. 가정법 목표, 수준, 퀴즈 선호, 오류 회복 시나리오가 모두 맞습니다.</x:v>
      </x:c>
      <x:c r="Z69" s="101" t="str">
        <x:v>일반</x:v>
      </x:c>
      <x:c r="AA69" s="101" t="str">
        <x:v>Codex 초안</x:v>
      </x:c>
      <x:c r="AB69" s="101" t="str"/>
    </x:row>
    <x:row r="70" ht="52" customHeight="1">
      <x:c r="A70" s="80" t="str">
        <x:v>user-07__content-01</x:v>
      </x:c>
      <x:c r="B70" s="80" t="str">
        <x:v>user-07</x:v>
      </x:c>
      <x:c r="C70" s="80" t="str">
        <x:v>최근 하락형</x:v>
      </x:c>
      <x:c r="D70" s="96" t="str">
        <x:v>기존 · 최근 5회 성적 급락</x:v>
      </x:c>
      <x:c r="E70" s="92" t="n">
        <x:v>2</x:v>
      </x:c>
      <x:c r="F70" s="92" t="str">
        <x:v>가정법과 시제 실수 회복</x:v>
      </x:c>
      <x:c r="G70" s="83" t="str">
        <x:v>content-01</x:v>
      </x:c>
      <x:c r="H70" s="92" t="str">
        <x:v>현재완료 핵심 퀴즈</x:v>
      </x:c>
      <x:c r="I70" s="83" t="str">
        <x:v>퀴즈</x:v>
      </x:c>
      <x:c r="J70" s="83" t="n">
        <x:v>1</x:v>
      </x:c>
      <x:c r="K70" s="83" t="n">
        <x:v>6</x:v>
      </x:c>
      <x:c r="L70" s="83" t="str">
        <x:v>현재완료</x:v>
      </x:c>
      <x:c r="M70" s="110" t="n">
        <x:v>91.43</x:v>
      </x:c>
      <x:c r="N70" s="107" t="n">
        <x:v>2</x:v>
      </x:c>
      <x:c r="O70" s="107" t="str">
        <x:v>보통</x:v>
      </x:c>
      <x:c r="P70" s="107" t="str">
        <x:v>행동</x:v>
      </x:c>
      <x:c r="Q70" s="113" t="n">
        <x:v>1</x:v>
      </x:c>
      <x:c r="R70" s="113" t="n">
        <x:v>0.7143</x:v>
      </x:c>
      <x:c r="S70" s="107" t="n">
        <x:v>7</x:v>
      </x:c>
      <x:c r="T70" s="86" t="str">
        <x:f>'개인적합도'!AE70</x:f>
        <x:v>high</x:v>
      </x:c>
      <x:c r="U70" s="86" t="str">
        <x:v>high</x:v>
      </x:c>
      <x:c r="V70" s="86" t="n">
        <x:f>IF(U70="high",IF(T70="high",3,IF(T70="medium",2,1)),IF(U70="medium",IF(T70="low",1,2),IF(T70="low",0,1)))</x:f>
        <x:v>3</x:v>
      </x:c>
      <x:c r="W70" s="89" t="n">
        <x:v>2</x:v>
      </x:c>
      <x:c r="X70" s="101" t="str">
        <x:v>3 → 2 정성 조정</x:v>
      </x:c>
      <x:c r="Y70" s="101" t="str">
        <x:v>최근 5회 오답률 100%, 누적 71.43%, 진단 N/A%로 높은 학습 필요. 현재완료는 시제 목표와 퀴즈 선호에 맞지만 레벨 1의 기초 콘텐츠입니다.</x:v>
      </x:c>
      <x:c r="Z70" s="101" t="str">
        <x:v>우선 검토</x:v>
      </x:c>
      <x:c r="AA70" s="101" t="str">
        <x:v>Codex 초안</x:v>
      </x:c>
      <x:c r="AB70" s="101" t="str"/>
    </x:row>
    <x:row r="71" ht="52" customHeight="1">
      <x:c r="A71" s="80" t="str">
        <x:v>user-07__content-02</x:v>
      </x:c>
      <x:c r="B71" s="80" t="str">
        <x:v>user-07</x:v>
      </x:c>
      <x:c r="C71" s="80" t="str">
        <x:v>최근 하락형</x:v>
      </x:c>
      <x:c r="D71" s="96" t="str">
        <x:v>기존 · 최근 5회 성적 급락</x:v>
      </x:c>
      <x:c r="E71" s="92" t="n">
        <x:v>2</x:v>
      </x:c>
      <x:c r="F71" s="92" t="str">
        <x:v>가정법과 시제 실수 회복</x:v>
      </x:c>
      <x:c r="G71" s="83" t="str">
        <x:v>content-02</x:v>
      </x:c>
      <x:c r="H71" s="92" t="str">
        <x:v>현재완료 개념 강의</x:v>
      </x:c>
      <x:c r="I71" s="83" t="str">
        <x:v>영상 강의</x:v>
      </x:c>
      <x:c r="J71" s="83" t="n">
        <x:v>2</x:v>
      </x:c>
      <x:c r="K71" s="83" t="n">
        <x:v>18</x:v>
      </x:c>
      <x:c r="L71" s="83" t="str">
        <x:v>현재완료</x:v>
      </x:c>
      <x:c r="M71" s="110" t="n">
        <x:v>91.43</x:v>
      </x:c>
      <x:c r="N71" s="107" t="n">
        <x:v>2</x:v>
      </x:c>
      <x:c r="O71" s="107" t="str">
        <x:v>보통</x:v>
      </x:c>
      <x:c r="P71" s="107" t="str">
        <x:v>행동</x:v>
      </x:c>
      <x:c r="Q71" s="113" t="n">
        <x:v>1</x:v>
      </x:c>
      <x:c r="R71" s="113" t="n">
        <x:v>0.7143</x:v>
      </x:c>
      <x:c r="S71" s="107" t="n">
        <x:v>7</x:v>
      </x:c>
      <x:c r="T71" s="86" t="str">
        <x:f>'개인적합도'!AE71</x:f>
        <x:v>high</x:v>
      </x:c>
      <x:c r="U71" s="86" t="str">
        <x:v>high</x:v>
      </x:c>
      <x:c r="V71" s="86" t="n">
        <x:f>IF(U71="high",IF(T71="high",3,IF(T71="medium",2,1)),IF(U71="medium",IF(T71="low",1,2),IF(T71="low",0,1)))</x:f>
        <x:v>3</x:v>
      </x:c>
      <x:c r="W71" s="89" t="n">
        <x:v>2</x:v>
      </x:c>
      <x:c r="X71" s="101" t="str">
        <x:v>3 → 2 정성 조정</x:v>
      </x:c>
      <x:c r="Y71" s="101" t="str">
        <x:v>최근 5회 오답률 100%, 누적 71.43%, 진단 N/A%로 높은 학습 필요. 현재완료 직접 목표이며 18분, 레벨 2, 영상 완료 이력이 양호합니다.</x:v>
      </x:c>
      <x:c r="Z71" s="101" t="str">
        <x:v>우선 검토</x:v>
      </x:c>
      <x:c r="AA71" s="101" t="str">
        <x:v>Codex 초안</x:v>
      </x:c>
      <x:c r="AB71" s="101" t="str"/>
    </x:row>
    <x:row r="72" ht="52" customHeight="1">
      <x:c r="A72" s="80" t="str">
        <x:v>user-07__content-03</x:v>
      </x:c>
      <x:c r="B72" s="80" t="str">
        <x:v>user-07</x:v>
      </x:c>
      <x:c r="C72" s="80" t="str">
        <x:v>최근 하락형</x:v>
      </x:c>
      <x:c r="D72" s="96" t="str">
        <x:v>기존 · 최근 5회 성적 급락</x:v>
      </x:c>
      <x:c r="E72" s="92" t="n">
        <x:v>2</x:v>
      </x:c>
      <x:c r="F72" s="92" t="str">
        <x:v>가정법과 시제 실수 회복</x:v>
      </x:c>
      <x:c r="G72" s="83" t="str">
        <x:v>content-03</x:v>
      </x:c>
      <x:c r="H72" s="92" t="str">
        <x:v>현재완료 예문 읽기</x:v>
      </x:c>
      <x:c r="I72" s="83" t="str">
        <x:v>예문 읽기</x:v>
      </x:c>
      <x:c r="J72" s="83" t="n">
        <x:v>2</x:v>
      </x:c>
      <x:c r="K72" s="83" t="n">
        <x:v>12</x:v>
      </x:c>
      <x:c r="L72" s="83" t="str">
        <x:v>현재완료</x:v>
      </x:c>
      <x:c r="M72" s="110" t="n">
        <x:v>91.43</x:v>
      </x:c>
      <x:c r="N72" s="107" t="n">
        <x:v>2</x:v>
      </x:c>
      <x:c r="O72" s="107" t="str">
        <x:v>보통</x:v>
      </x:c>
      <x:c r="P72" s="107" t="str">
        <x:v>행동</x:v>
      </x:c>
      <x:c r="Q72" s="113" t="n">
        <x:v>1</x:v>
      </x:c>
      <x:c r="R72" s="113" t="n">
        <x:v>0.7143</x:v>
      </x:c>
      <x:c r="S72" s="107" t="n">
        <x:v>7</x:v>
      </x:c>
      <x:c r="T72" s="86" t="str">
        <x:f>'개인적합도'!AE72</x:f>
        <x:v>medium</x:v>
      </x:c>
      <x:c r="U72" s="86" t="str">
        <x:v>high</x:v>
      </x:c>
      <x:c r="V72" s="86" t="n">
        <x:f>IF(U72="high",IF(T72="high",3,IF(T72="medium",2,1)),IF(U72="medium",IF(T72="low",1,2),IF(T72="low",0,1)))</x:f>
        <x:v>2</x:v>
      </x:c>
      <x:c r="W72" s="89" t="n">
        <x:v>2</x:v>
      </x:c>
      <x:c r="X72" s="101" t="str">
        <x:v>매트릭스 일치</x:v>
      </x:c>
      <x:c r="Y72" s="101" t="str">
        <x:v>최근 5회 오답률 100%, 누적 71.43%, 진단 N/A%로 높은 학습 필요. 현재완료 학습 필요는 높지만 읽기 유형 선호 근거가 약합니다.</x:v>
      </x:c>
      <x:c r="Z72" s="101" t="str">
        <x:v>우선 검토</x:v>
      </x:c>
      <x:c r="AA72" s="101" t="str">
        <x:v>Codex 초안</x:v>
      </x:c>
      <x:c r="AB72" s="101" t="str"/>
    </x:row>
    <x:row r="73" ht="52" customHeight="1">
      <x:c r="A73" s="80" t="str">
        <x:v>user-07__content-04</x:v>
      </x:c>
      <x:c r="B73" s="80" t="str">
        <x:v>user-07</x:v>
      </x:c>
      <x:c r="C73" s="80" t="str">
        <x:v>최근 하락형</x:v>
      </x:c>
      <x:c r="D73" s="96" t="str">
        <x:v>기존 · 최근 5회 성적 급락</x:v>
      </x:c>
      <x:c r="E73" s="92" t="n">
        <x:v>2</x:v>
      </x:c>
      <x:c r="F73" s="92" t="str">
        <x:v>가정법과 시제 실수 회복</x:v>
      </x:c>
      <x:c r="G73" s="83" t="str">
        <x:v>content-04</x:v>
      </x:c>
      <x:c r="H73" s="92" t="str">
        <x:v>현재완료 심화 문제</x:v>
      </x:c>
      <x:c r="I73" s="83" t="str">
        <x:v>심화 문제</x:v>
      </x:c>
      <x:c r="J73" s="83" t="n">
        <x:v>3</x:v>
      </x:c>
      <x:c r="K73" s="83" t="n">
        <x:v>22</x:v>
      </x:c>
      <x:c r="L73" s="83" t="str">
        <x:v>현재완료</x:v>
      </x:c>
      <x:c r="M73" s="110" t="n">
        <x:v>91.43</x:v>
      </x:c>
      <x:c r="N73" s="107" t="n">
        <x:v>2</x:v>
      </x:c>
      <x:c r="O73" s="107" t="str">
        <x:v>보통</x:v>
      </x:c>
      <x:c r="P73" s="107" t="str">
        <x:v>행동</x:v>
      </x:c>
      <x:c r="Q73" s="113" t="n">
        <x:v>1</x:v>
      </x:c>
      <x:c r="R73" s="113" t="n">
        <x:v>0.7143</x:v>
      </x:c>
      <x:c r="S73" s="107" t="n">
        <x:v>7</x:v>
      </x:c>
      <x:c r="T73" s="86" t="str">
        <x:f>'개인적합도'!AE73</x:f>
        <x:v>high</x:v>
      </x:c>
      <x:c r="U73" s="86" t="str">
        <x:v>high</x:v>
      </x:c>
      <x:c r="V73" s="86" t="n">
        <x:f>IF(U73="high",IF(T73="high",3,IF(T73="medium",2,1)),IF(U73="medium",IF(T73="low",1,2),IF(T73="low",0,1)))</x:f>
        <x:v>3</x:v>
      </x:c>
      <x:c r="W73" s="89" t="n">
        <x:v>3</x:v>
      </x:c>
      <x:c r="X73" s="101" t="str">
        <x:v>매트릭스 일치</x:v>
      </x:c>
      <x:c r="Y73" s="101" t="str">
        <x:v>최근 5회 오답률 100%, 누적 71.43%, 진단 N/A%로 높은 학습 필요. 문제풀이 선호와 높은 현재완료 취약도에 부합합니다.</x:v>
      </x:c>
      <x:c r="Z73" s="101" t="str">
        <x:v>일반</x:v>
      </x:c>
      <x:c r="AA73" s="101" t="str">
        <x:v>Codex 초안</x:v>
      </x:c>
      <x:c r="AB73" s="101" t="str"/>
    </x:row>
    <x:row r="74" ht="52" customHeight="1">
      <x:c r="A74" s="80" t="str">
        <x:v>user-07__content-05</x:v>
      </x:c>
      <x:c r="B74" s="80" t="str">
        <x:v>user-07</x:v>
      </x:c>
      <x:c r="C74" s="80" t="str">
        <x:v>최근 하락형</x:v>
      </x:c>
      <x:c r="D74" s="96" t="str">
        <x:v>기존 · 최근 5회 성적 급락</x:v>
      </x:c>
      <x:c r="E74" s="92" t="n">
        <x:v>2</x:v>
      </x:c>
      <x:c r="F74" s="92" t="str">
        <x:v>가정법과 시제 실수 회복</x:v>
      </x:c>
      <x:c r="G74" s="83" t="str">
        <x:v>content-05</x:v>
      </x:c>
      <x:c r="H74" s="92" t="str">
        <x:v>현재완료 오답 교정</x:v>
      </x:c>
      <x:c r="I74" s="83" t="str">
        <x:v>퀴즈</x:v>
      </x:c>
      <x:c r="J74" s="83" t="n">
        <x:v>2</x:v>
      </x:c>
      <x:c r="K74" s="83" t="n">
        <x:v>9</x:v>
      </x:c>
      <x:c r="L74" s="83" t="str">
        <x:v>현재완료</x:v>
      </x:c>
      <x:c r="M74" s="110" t="n">
        <x:v>91.43</x:v>
      </x:c>
      <x:c r="N74" s="107" t="n">
        <x:v>2</x:v>
      </x:c>
      <x:c r="O74" s="107" t="str">
        <x:v>보통</x:v>
      </x:c>
      <x:c r="P74" s="107" t="str">
        <x:v>행동</x:v>
      </x:c>
      <x:c r="Q74" s="113" t="n">
        <x:v>1</x:v>
      </x:c>
      <x:c r="R74" s="113" t="n">
        <x:v>0.7143</x:v>
      </x:c>
      <x:c r="S74" s="107" t="n">
        <x:v>7</x:v>
      </x:c>
      <x:c r="T74" s="86" t="str">
        <x:f>'개인적합도'!AE74</x:f>
        <x:v>high</x:v>
      </x:c>
      <x:c r="U74" s="86" t="str">
        <x:v>high</x:v>
      </x:c>
      <x:c r="V74" s="86" t="n">
        <x:f>IF(U74="high",IF(T74="high",3,IF(T74="medium",2,1)),IF(U74="medium",IF(T74="low",1,2),IF(T74="low",0,1)))</x:f>
        <x:v>3</x:v>
      </x:c>
      <x:c r="W74" s="89" t="n">
        <x:v>3</x:v>
      </x:c>
      <x:c r="X74" s="101" t="str">
        <x:v>매트릭스 일치</x:v>
      </x:c>
      <x:c r="Y74" s="101" t="str">
        <x:v>최근 5회 오답률 100%, 누적 71.43%, 진단 N/A%로 높은 학습 필요. 최근 시제 실수를 짧게 직접 교정하는 최적 후보입니다.</x:v>
      </x:c>
      <x:c r="Z74" s="101" t="str">
        <x:v>일반</x:v>
      </x:c>
      <x:c r="AA74" s="101" t="str">
        <x:v>Codex 초안</x:v>
      </x:c>
      <x:c r="AB74" s="101" t="str"/>
    </x:row>
    <x:row r="75" ht="52" customHeight="1">
      <x:c r="A75" s="80" t="str">
        <x:v>user-08__content-11</x:v>
      </x:c>
      <x:c r="B75" s="80" t="str">
        <x:v>user-08</x:v>
      </x:c>
      <x:c r="C75" s="80" t="str">
        <x:v>희소 이력형</x:v>
      </x:c>
      <x:c r="D75" s="96" t="str">
        <x:v>기존 · 낮은 신뢰도의 희소 이력</x:v>
      </x:c>
      <x:c r="E75" s="92" t="n">
        <x:v>1</x:v>
      </x:c>
      <x:c r="F75" s="92" t="str">
        <x:v>기초 문법 학습 습관 만들기</x:v>
      </x:c>
      <x:c r="G75" s="83" t="str">
        <x:v>content-11</x:v>
      </x:c>
      <x:c r="H75" s="92" t="str">
        <x:v>조동사 핵심 퀴즈</x:v>
      </x:c>
      <x:c r="I75" s="83" t="str">
        <x:v>퀴즈</x:v>
      </x:c>
      <x:c r="J75" s="83" t="n">
        <x:v>1</x:v>
      </x:c>
      <x:c r="K75" s="83" t="n">
        <x:v>6</x:v>
      </x:c>
      <x:c r="L75" s="83" t="str">
        <x:v>조동사</x:v>
      </x:c>
      <x:c r="M75" s="110" t="n">
        <x:v>100</x:v>
      </x:c>
      <x:c r="N75" s="107" t="n">
        <x:v>1</x:v>
      </x:c>
      <x:c r="O75" s="107" t="str">
        <x:v>낮음</x:v>
      </x:c>
      <x:c r="P75" s="107" t="str">
        <x:v>행동</x:v>
      </x:c>
      <x:c r="Q75" s="113" t="n">
        <x:v>1</x:v>
      </x:c>
      <x:c r="R75" s="113" t="n">
        <x:v>1</x:v>
      </x:c>
      <x:c r="S75" s="107" t="n">
        <x:v>2</x:v>
      </x:c>
      <x:c r="T75" s="86" t="str">
        <x:f>'개인적합도'!AE75</x:f>
        <x:v>high</x:v>
      </x:c>
      <x:c r="U75" s="86" t="str">
        <x:v>medium</x:v>
      </x:c>
      <x:c r="V75" s="86" t="n">
        <x:f>IF(U75="high",IF(T75="high",3,IF(T75="medium",2,1)),IF(U75="medium",IF(T75="low",1,2),IF(T75="low",0,1)))</x:f>
        <x:v>2</x:v>
      </x:c>
      <x:c r="W75" s="89" t="n">
        <x:v>3</x:v>
      </x:c>
      <x:c r="X75" s="101" t="str">
        <x:v>2 → 3 정성 조정</x:v>
      </x:c>
      <x:c r="Y75" s="101" t="str">
        <x:v>최근 2회 오답률 100%, 누적 100%, 진단 66.67%로 중간 학습 필요. 조동사 명시 목표, 레벨, 퀴즈 선호, 시간이 모두 맞습니다.</x:v>
      </x:c>
      <x:c r="Z75" s="101" t="str">
        <x:v>우선 검토</x:v>
      </x:c>
      <x:c r="AA75" s="101" t="str">
        <x:v>Codex 초안</x:v>
      </x:c>
      <x:c r="AB75" s="101" t="str"/>
    </x:row>
    <x:row r="76" ht="52" customHeight="1">
      <x:c r="A76" s="80" t="str">
        <x:v>user-08__content-12</x:v>
      </x:c>
      <x:c r="B76" s="80" t="str">
        <x:v>user-08</x:v>
      </x:c>
      <x:c r="C76" s="80" t="str">
        <x:v>희소 이력형</x:v>
      </x:c>
      <x:c r="D76" s="96" t="str">
        <x:v>기존 · 낮은 신뢰도의 희소 이력</x:v>
      </x:c>
      <x:c r="E76" s="92" t="n">
        <x:v>1</x:v>
      </x:c>
      <x:c r="F76" s="92" t="str">
        <x:v>기초 문법 학습 습관 만들기</x:v>
      </x:c>
      <x:c r="G76" s="83" t="str">
        <x:v>content-12</x:v>
      </x:c>
      <x:c r="H76" s="92" t="str">
        <x:v>조동사 개념 강의</x:v>
      </x:c>
      <x:c r="I76" s="83" t="str">
        <x:v>영상 강의</x:v>
      </x:c>
      <x:c r="J76" s="83" t="n">
        <x:v>2</x:v>
      </x:c>
      <x:c r="K76" s="83" t="n">
        <x:v>18</x:v>
      </x:c>
      <x:c r="L76" s="83" t="str">
        <x:v>조동사</x:v>
      </x:c>
      <x:c r="M76" s="110" t="n">
        <x:v>100</x:v>
      </x:c>
      <x:c r="N76" s="107" t="n">
        <x:v>1</x:v>
      </x:c>
      <x:c r="O76" s="107" t="str">
        <x:v>낮음</x:v>
      </x:c>
      <x:c r="P76" s="107" t="str">
        <x:v>행동</x:v>
      </x:c>
      <x:c r="Q76" s="113" t="n">
        <x:v>1</x:v>
      </x:c>
      <x:c r="R76" s="113" t="n">
        <x:v>1</x:v>
      </x:c>
      <x:c r="S76" s="107" t="n">
        <x:v>2</x:v>
      </x:c>
      <x:c r="T76" s="86" t="str">
        <x:f>'개인적합도'!AE76</x:f>
        <x:v>medium</x:v>
      </x:c>
      <x:c r="U76" s="86" t="str">
        <x:v>medium</x:v>
      </x:c>
      <x:c r="V76" s="86" t="n">
        <x:f>IF(U76="high",IF(T76="high",3,IF(T76="medium",2,1)),IF(U76="medium",IF(T76="low",1,2),IF(T76="low",0,1)))</x:f>
        <x:v>2</x:v>
      </x:c>
      <x:c r="W76" s="89" t="n">
        <x:v>1</x:v>
      </x:c>
      <x:c r="X76" s="101" t="str">
        <x:v>2 → 1 정성 조정</x:v>
      </x:c>
      <x:c r="Y76" s="101" t="str">
        <x:v>최근 2회 오답률 100%, 누적 100%, 진단 66.67%로 중간 학습 필요. 조동사 목표에는 맞지만 영상, 레벨 2, 18분이 모두 부담입니다.</x:v>
      </x:c>
      <x:c r="Z76" s="101" t="str">
        <x:v>우선 검토</x:v>
      </x:c>
      <x:c r="AA76" s="101" t="str">
        <x:v>Codex 초안</x:v>
      </x:c>
      <x:c r="AB76" s="101" t="str"/>
    </x:row>
    <x:row r="77" ht="52" customHeight="1">
      <x:c r="A77" s="80" t="str">
        <x:v>user-08__content-13</x:v>
      </x:c>
      <x:c r="B77" s="80" t="str">
        <x:v>user-08</x:v>
      </x:c>
      <x:c r="C77" s="80" t="str">
        <x:v>희소 이력형</x:v>
      </x:c>
      <x:c r="D77" s="96" t="str">
        <x:v>기존 · 낮은 신뢰도의 희소 이력</x:v>
      </x:c>
      <x:c r="E77" s="92" t="n">
        <x:v>1</x:v>
      </x:c>
      <x:c r="F77" s="92" t="str">
        <x:v>기초 문법 학습 습관 만들기</x:v>
      </x:c>
      <x:c r="G77" s="83" t="str">
        <x:v>content-13</x:v>
      </x:c>
      <x:c r="H77" s="92" t="str">
        <x:v>조동사 예문 읽기</x:v>
      </x:c>
      <x:c r="I77" s="83" t="str">
        <x:v>예문 읽기</x:v>
      </x:c>
      <x:c r="J77" s="83" t="n">
        <x:v>2</x:v>
      </x:c>
      <x:c r="K77" s="83" t="n">
        <x:v>12</x:v>
      </x:c>
      <x:c r="L77" s="83" t="str">
        <x:v>조동사</x:v>
      </x:c>
      <x:c r="M77" s="110" t="n">
        <x:v>100</x:v>
      </x:c>
      <x:c r="N77" s="107" t="n">
        <x:v>1</x:v>
      </x:c>
      <x:c r="O77" s="107" t="str">
        <x:v>낮음</x:v>
      </x:c>
      <x:c r="P77" s="107" t="str">
        <x:v>행동</x:v>
      </x:c>
      <x:c r="Q77" s="113" t="n">
        <x:v>1</x:v>
      </x:c>
      <x:c r="R77" s="113" t="n">
        <x:v>1</x:v>
      </x:c>
      <x:c r="S77" s="107" t="n">
        <x:v>2</x:v>
      </x:c>
      <x:c r="T77" s="86" t="str">
        <x:f>'개인적합도'!AE77</x:f>
        <x:v>high</x:v>
      </x:c>
      <x:c r="U77" s="86" t="str">
        <x:v>medium</x:v>
      </x:c>
      <x:c r="V77" s="86" t="n">
        <x:f>IF(U77="high",IF(T77="high",3,IF(T77="medium",2,1)),IF(U77="medium",IF(T77="low",1,2),IF(T77="low",0,1)))</x:f>
        <x:v>2</x:v>
      </x:c>
      <x:c r="W77" s="89" t="n">
        <x:v>2</x:v>
      </x:c>
      <x:c r="X77" s="101" t="str">
        <x:v>매트릭스 일치</x:v>
      </x:c>
      <x:c r="Y77" s="101" t="str">
        <x:v>최근 2회 오답률 100%, 누적 100%, 진단 66.67%로 중간 학습 필요. 조동사 목표와 읽기 선호가 맞고 12분은 허용 가능한 범위입니다.</x:v>
      </x:c>
      <x:c r="Z77" s="101" t="str">
        <x:v>우선 검토</x:v>
      </x:c>
      <x:c r="AA77" s="101" t="str">
        <x:v>Codex 초안</x:v>
      </x:c>
      <x:c r="AB77" s="101" t="str"/>
    </x:row>
    <x:row r="78" ht="52" customHeight="1">
      <x:c r="A78" s="80" t="str">
        <x:v>user-08__content-15</x:v>
      </x:c>
      <x:c r="B78" s="80" t="str">
        <x:v>user-08</x:v>
      </x:c>
      <x:c r="C78" s="80" t="str">
        <x:v>희소 이력형</x:v>
      </x:c>
      <x:c r="D78" s="96" t="str">
        <x:v>기존 · 낮은 신뢰도의 희소 이력</x:v>
      </x:c>
      <x:c r="E78" s="92" t="n">
        <x:v>1</x:v>
      </x:c>
      <x:c r="F78" s="92" t="str">
        <x:v>기초 문법 학습 습관 만들기</x:v>
      </x:c>
      <x:c r="G78" s="83" t="str">
        <x:v>content-15</x:v>
      </x:c>
      <x:c r="H78" s="92" t="str">
        <x:v>조동사 오답 교정</x:v>
      </x:c>
      <x:c r="I78" s="83" t="str">
        <x:v>퀴즈</x:v>
      </x:c>
      <x:c r="J78" s="83" t="n">
        <x:v>2</x:v>
      </x:c>
      <x:c r="K78" s="83" t="n">
        <x:v>9</x:v>
      </x:c>
      <x:c r="L78" s="83" t="str">
        <x:v>조동사</x:v>
      </x:c>
      <x:c r="M78" s="110" t="n">
        <x:v>100</x:v>
      </x:c>
      <x:c r="N78" s="107" t="n">
        <x:v>1</x:v>
      </x:c>
      <x:c r="O78" s="107" t="str">
        <x:v>낮음</x:v>
      </x:c>
      <x:c r="P78" s="107" t="str">
        <x:v>행동</x:v>
      </x:c>
      <x:c r="Q78" s="113" t="n">
        <x:v>1</x:v>
      </x:c>
      <x:c r="R78" s="113" t="n">
        <x:v>1</x:v>
      </x:c>
      <x:c r="S78" s="107" t="n">
        <x:v>2</x:v>
      </x:c>
      <x:c r="T78" s="86" t="str">
        <x:f>'개인적합도'!AE78</x:f>
        <x:v>high</x:v>
      </x:c>
      <x:c r="U78" s="86" t="str">
        <x:v>medium</x:v>
      </x:c>
      <x:c r="V78" s="86" t="n">
        <x:f>IF(U78="high",IF(T78="high",3,IF(T78="medium",2,1)),IF(U78="medium",IF(T78="low",1,2),IF(T78="low",0,1)))</x:f>
        <x:v>2</x:v>
      </x:c>
      <x:c r="W78" s="89" t="n">
        <x:v>3</x:v>
      </x:c>
      <x:c r="X78" s="101" t="str">
        <x:v>2 → 3 정성 조정</x:v>
      </x:c>
      <x:c r="Y78" s="101" t="str">
        <x:v>최근 2회 오답률 100%, 누적 100%, 진단 66.67%로 중간 학습 필요. 퀴즈 선호, 9분, 관측된 조동사 오답의 직접 교정이 맞습니다.</x:v>
      </x:c>
      <x:c r="Z78" s="101" t="str">
        <x:v>우선 검토</x:v>
      </x:c>
      <x:c r="AA78" s="101" t="str">
        <x:v>Codex 초안</x:v>
      </x:c>
      <x:c r="AB78" s="101" t="str"/>
    </x:row>
    <x:row r="79" ht="52" customHeight="1">
      <x:c r="A79" s="80" t="str">
        <x:v>user-08__content-01</x:v>
      </x:c>
      <x:c r="B79" s="80" t="str">
        <x:v>user-08</x:v>
      </x:c>
      <x:c r="C79" s="80" t="str">
        <x:v>희소 이력형</x:v>
      </x:c>
      <x:c r="D79" s="96" t="str">
        <x:v>기존 · 낮은 신뢰도의 희소 이력</x:v>
      </x:c>
      <x:c r="E79" s="92" t="n">
        <x:v>1</x:v>
      </x:c>
      <x:c r="F79" s="92" t="str">
        <x:v>기초 문법 학습 습관 만들기</x:v>
      </x:c>
      <x:c r="G79" s="83" t="str">
        <x:v>content-01</x:v>
      </x:c>
      <x:c r="H79" s="92" t="str">
        <x:v>현재완료 핵심 퀴즈</x:v>
      </x:c>
      <x:c r="I79" s="83" t="str">
        <x:v>퀴즈</x:v>
      </x:c>
      <x:c r="J79" s="83" t="n">
        <x:v>1</x:v>
      </x:c>
      <x:c r="K79" s="83" t="n">
        <x:v>6</x:v>
      </x:c>
      <x:c r="L79" s="83" t="str">
        <x:v>현재완료</x:v>
      </x:c>
      <x:c r="M79" s="110" t="n">
        <x:v>50</x:v>
      </x:c>
      <x:c r="N79" s="107" t="n">
        <x:v>2</x:v>
      </x:c>
      <x:c r="O79" s="107" t="str">
        <x:v>낮음</x:v>
      </x:c>
      <x:c r="P79" s="107" t="str">
        <x:v>행동</x:v>
      </x:c>
      <x:c r="Q79" s="113" t="n">
        <x:v>0.5</x:v>
      </x:c>
      <x:c r="R79" s="113" t="n">
        <x:v>0.5</x:v>
      </x:c>
      <x:c r="S79" s="107" t="n">
        <x:v>2</x:v>
      </x:c>
      <x:c r="T79" s="86" t="str">
        <x:f>'개인적합도'!AE79</x:f>
        <x:v>high</x:v>
      </x:c>
      <x:c r="U79" s="86" t="str">
        <x:v>medium</x:v>
      </x:c>
      <x:c r="V79" s="86" t="n">
        <x:f>IF(U79="high",IF(T79="high",3,IF(T79="medium",2,1)),IF(U79="medium",IF(T79="low",1,2),IF(T79="low",0,1)))</x:f>
        <x:v>2</x:v>
      </x:c>
      <x:c r="W79" s="89" t="n">
        <x:v>2</x:v>
      </x:c>
      <x:c r="X79" s="101" t="str">
        <x:v>매트릭스 일치</x:v>
      </x:c>
      <x:c r="Y79" s="101" t="str">
        <x:v>최근 2회 오답률 50%, 누적 50%, 진단 66.67%로 중간 학습 필요. 기초 시제 목표, 레벨, 퀴즈 선호가 맞습니다.</x:v>
      </x:c>
      <x:c r="Z79" s="101" t="str">
        <x:v>우선 검토</x:v>
      </x:c>
      <x:c r="AA79" s="101" t="str">
        <x:v>Codex 초안</x:v>
      </x:c>
      <x:c r="AB79" s="101" t="str"/>
    </x:row>
    <x:row r="80" ht="52" customHeight="1">
      <x:c r="A80" s="80" t="str">
        <x:v>user-08__content-02</x:v>
      </x:c>
      <x:c r="B80" s="80" t="str">
        <x:v>user-08</x:v>
      </x:c>
      <x:c r="C80" s="80" t="str">
        <x:v>희소 이력형</x:v>
      </x:c>
      <x:c r="D80" s="96" t="str">
        <x:v>기존 · 낮은 신뢰도의 희소 이력</x:v>
      </x:c>
      <x:c r="E80" s="92" t="n">
        <x:v>1</x:v>
      </x:c>
      <x:c r="F80" s="92" t="str">
        <x:v>기초 문법 학습 습관 만들기</x:v>
      </x:c>
      <x:c r="G80" s="83" t="str">
        <x:v>content-02</x:v>
      </x:c>
      <x:c r="H80" s="92" t="str">
        <x:v>현재완료 개념 강의</x:v>
      </x:c>
      <x:c r="I80" s="83" t="str">
        <x:v>영상 강의</x:v>
      </x:c>
      <x:c r="J80" s="83" t="n">
        <x:v>2</x:v>
      </x:c>
      <x:c r="K80" s="83" t="n">
        <x:v>18</x:v>
      </x:c>
      <x:c r="L80" s="83" t="str">
        <x:v>현재완료</x:v>
      </x:c>
      <x:c r="M80" s="110" t="n">
        <x:v>50</x:v>
      </x:c>
      <x:c r="N80" s="107" t="n">
        <x:v>2</x:v>
      </x:c>
      <x:c r="O80" s="107" t="str">
        <x:v>낮음</x:v>
      </x:c>
      <x:c r="P80" s="107" t="str">
        <x:v>행동</x:v>
      </x:c>
      <x:c r="Q80" s="113" t="n">
        <x:v>0.5</x:v>
      </x:c>
      <x:c r="R80" s="113" t="n">
        <x:v>0.5</x:v>
      </x:c>
      <x:c r="S80" s="107" t="n">
        <x:v>2</x:v>
      </x:c>
      <x:c r="T80" s="86" t="str">
        <x:f>'개인적합도'!AE80</x:f>
        <x:v>medium</x:v>
      </x:c>
      <x:c r="U80" s="86" t="str">
        <x:v>medium</x:v>
      </x:c>
      <x:c r="V80" s="86" t="n">
        <x:f>IF(U80="high",IF(T80="high",3,IF(T80="medium",2,1)),IF(U80="medium",IF(T80="low",1,2),IF(T80="low",0,1)))</x:f>
        <x:v>2</x:v>
      </x:c>
      <x:c r="W80" s="89" t="n">
        <x:v>1</x:v>
      </x:c>
      <x:c r="X80" s="101" t="str">
        <x:v>2 → 1 정성 조정</x:v>
      </x:c>
      <x:c r="Y80" s="101" t="str">
        <x:v>최근 2회 오답률 50%, 누적 50%, 진단 66.67%로 중간 학습 필요. 현재완료 목표에는 맞지만 영상, 18분, 레벨 2가 부담입니다.</x:v>
      </x:c>
      <x:c r="Z80" s="101" t="str">
        <x:v>우선 검토</x:v>
      </x:c>
      <x:c r="AA80" s="101" t="str">
        <x:v>Codex 초안</x:v>
      </x:c>
      <x:c r="AB80" s="101" t="str"/>
    </x:row>
    <x:row r="81" ht="52" customHeight="1">
      <x:c r="A81" s="80" t="str">
        <x:v>user-08__content-03</x:v>
      </x:c>
      <x:c r="B81" s="80" t="str">
        <x:v>user-08</x:v>
      </x:c>
      <x:c r="C81" s="80" t="str">
        <x:v>희소 이력형</x:v>
      </x:c>
      <x:c r="D81" s="96" t="str">
        <x:v>기존 · 낮은 신뢰도의 희소 이력</x:v>
      </x:c>
      <x:c r="E81" s="92" t="n">
        <x:v>1</x:v>
      </x:c>
      <x:c r="F81" s="92" t="str">
        <x:v>기초 문법 학습 습관 만들기</x:v>
      </x:c>
      <x:c r="G81" s="83" t="str">
        <x:v>content-03</x:v>
      </x:c>
      <x:c r="H81" s="92" t="str">
        <x:v>현재완료 예문 읽기</x:v>
      </x:c>
      <x:c r="I81" s="83" t="str">
        <x:v>예문 읽기</x:v>
      </x:c>
      <x:c r="J81" s="83" t="n">
        <x:v>2</x:v>
      </x:c>
      <x:c r="K81" s="83" t="n">
        <x:v>12</x:v>
      </x:c>
      <x:c r="L81" s="83" t="str">
        <x:v>현재완료</x:v>
      </x:c>
      <x:c r="M81" s="110" t="n">
        <x:v>50</x:v>
      </x:c>
      <x:c r="N81" s="107" t="n">
        <x:v>2</x:v>
      </x:c>
      <x:c r="O81" s="107" t="str">
        <x:v>낮음</x:v>
      </x:c>
      <x:c r="P81" s="107" t="str">
        <x:v>행동</x:v>
      </x:c>
      <x:c r="Q81" s="113" t="n">
        <x:v>0.5</x:v>
      </x:c>
      <x:c r="R81" s="113" t="n">
        <x:v>0.5</x:v>
      </x:c>
      <x:c r="S81" s="107" t="n">
        <x:v>2</x:v>
      </x:c>
      <x:c r="T81" s="86" t="str">
        <x:f>'개인적합도'!AE81</x:f>
        <x:v>high</x:v>
      </x:c>
      <x:c r="U81" s="86" t="str">
        <x:v>medium</x:v>
      </x:c>
      <x:c r="V81" s="86" t="n">
        <x:f>IF(U81="high",IF(T81="high",3,IF(T81="medium",2,1)),IF(U81="medium",IF(T81="low",1,2),IF(T81="low",0,1)))</x:f>
        <x:v>2</x:v>
      </x:c>
      <x:c r="W81" s="89" t="n">
        <x:v>2</x:v>
      </x:c>
      <x:c r="X81" s="101" t="str">
        <x:v>매트릭스 일치</x:v>
      </x:c>
      <x:c r="Y81" s="101" t="str">
        <x:v>최근 2회 오답률 50%, 누적 50%, 진단 66.67%로 중간 학습 필요. 읽기 선호와 기초 시제 목표가 맞습니다.</x:v>
      </x:c>
      <x:c r="Z81" s="101" t="str">
        <x:v>우선 검토</x:v>
      </x:c>
      <x:c r="AA81" s="101" t="str">
        <x:v>Codex 초안</x:v>
      </x:c>
      <x:c r="AB81" s="101" t="str"/>
    </x:row>
    <x:row r="82" ht="52" customHeight="1">
      <x:c r="A82" s="80" t="str">
        <x:v>user-08__content-05</x:v>
      </x:c>
      <x:c r="B82" s="80" t="str">
        <x:v>user-08</x:v>
      </x:c>
      <x:c r="C82" s="80" t="str">
        <x:v>희소 이력형</x:v>
      </x:c>
      <x:c r="D82" s="96" t="str">
        <x:v>기존 · 낮은 신뢰도의 희소 이력</x:v>
      </x:c>
      <x:c r="E82" s="92" t="n">
        <x:v>1</x:v>
      </x:c>
      <x:c r="F82" s="92" t="str">
        <x:v>기초 문법 학습 습관 만들기</x:v>
      </x:c>
      <x:c r="G82" s="83" t="str">
        <x:v>content-05</x:v>
      </x:c>
      <x:c r="H82" s="92" t="str">
        <x:v>현재완료 오답 교정</x:v>
      </x:c>
      <x:c r="I82" s="83" t="str">
        <x:v>퀴즈</x:v>
      </x:c>
      <x:c r="J82" s="83" t="n">
        <x:v>2</x:v>
      </x:c>
      <x:c r="K82" s="83" t="n">
        <x:v>9</x:v>
      </x:c>
      <x:c r="L82" s="83" t="str">
        <x:v>현재완료</x:v>
      </x:c>
      <x:c r="M82" s="110" t="n">
        <x:v>50</x:v>
      </x:c>
      <x:c r="N82" s="107" t="n">
        <x:v>2</x:v>
      </x:c>
      <x:c r="O82" s="107" t="str">
        <x:v>낮음</x:v>
      </x:c>
      <x:c r="P82" s="107" t="str">
        <x:v>행동</x:v>
      </x:c>
      <x:c r="Q82" s="113" t="n">
        <x:v>0.5</x:v>
      </x:c>
      <x:c r="R82" s="113" t="n">
        <x:v>0.5</x:v>
      </x:c>
      <x:c r="S82" s="107" t="n">
        <x:v>2</x:v>
      </x:c>
      <x:c r="T82" s="86" t="str">
        <x:f>'개인적합도'!AE82</x:f>
        <x:v>high</x:v>
      </x:c>
      <x:c r="U82" s="86" t="str">
        <x:v>medium</x:v>
      </x:c>
      <x:c r="V82" s="86" t="n">
        <x:f>IF(U82="high",IF(T82="high",3,IF(T82="medium",2,1)),IF(U82="medium",IF(T82="low",1,2),IF(T82="low",0,1)))</x:f>
        <x:v>2</x:v>
      </x:c>
      <x:c r="W82" s="89" t="n">
        <x:v>2</x:v>
      </x:c>
      <x:c r="X82" s="101" t="str">
        <x:v>매트릭스 일치</x:v>
      </x:c>
      <x:c r="Y82" s="101" t="str">
        <x:v>최근 2회 오답률 50%, 누적 50%, 진단 66.67%로 중간 학습 필요. 짧은 퀴즈형 현재완료 교정이 적합하지만 조동사보다 필요도는 낮습니다.</x:v>
      </x:c>
      <x:c r="Z82" s="101" t="str">
        <x:v>우선 검토</x:v>
      </x:c>
      <x:c r="AA82" s="101" t="str">
        <x:v>Codex 초안</x:v>
      </x:c>
      <x:c r="AB82" s="101" t="str"/>
    </x:row>
    <x:row r="83" ht="52" customHeight="1">
      <x:c r="A83" s="80" t="str">
        <x:v>user-08__content-26</x:v>
      </x:c>
      <x:c r="B83" s="80" t="str">
        <x:v>user-08</x:v>
      </x:c>
      <x:c r="C83" s="80" t="str">
        <x:v>희소 이력형</x:v>
      </x:c>
      <x:c r="D83" s="96" t="str">
        <x:v>기존 · 낮은 신뢰도의 희소 이력</x:v>
      </x:c>
      <x:c r="E83" s="92" t="n">
        <x:v>1</x:v>
      </x:c>
      <x:c r="F83" s="92" t="str">
        <x:v>기초 문법 학습 습관 만들기</x:v>
      </x:c>
      <x:c r="G83" s="83" t="str">
        <x:v>content-26</x:v>
      </x:c>
      <x:c r="H83" s="92" t="str">
        <x:v>가정법 핵심 퀴즈</x:v>
      </x:c>
      <x:c r="I83" s="83" t="str">
        <x:v>퀴즈</x:v>
      </x:c>
      <x:c r="J83" s="83" t="n">
        <x:v>1</x:v>
      </x:c>
      <x:c r="K83" s="83" t="n">
        <x:v>6</x:v>
      </x:c>
      <x:c r="L83" s="83" t="str">
        <x:v>가정법</x:v>
      </x:c>
      <x:c r="M83" s="110" t="n">
        <x:v>0</x:v>
      </x:c>
      <x:c r="N83" s="107" t="n">
        <x:v>3</x:v>
      </x:c>
      <x:c r="O83" s="107" t="str">
        <x:v>낮음</x:v>
      </x:c>
      <x:c r="P83" s="107" t="str">
        <x:v>근거 부족</x:v>
      </x:c>
      <x:c r="Q83" s="113"/>
      <x:c r="R83" s="113"/>
      <x:c r="S83" s="107" t="n">
        <x:v>0</x:v>
      </x:c>
      <x:c r="T83" s="86" t="str">
        <x:f>'개인적합도'!AE83</x:f>
        <x:v>medium</x:v>
      </x:c>
      <x:c r="U83" s="86" t="str">
        <x:v>low</x:v>
      </x:c>
      <x:c r="V83" s="86" t="n">
        <x:f>IF(U83="high",IF(T83="high",3,IF(T83="medium",2,1)),IF(U83="medium",IF(T83="low",1,2),IF(T83="low",0,1)))</x:f>
        <x:v>1</x:v>
      </x:c>
      <x:c r="W83" s="89" t="n">
        <x:v>0</x:v>
      </x:c>
      <x:c r="X83" s="101" t="str">
        <x:v>1 → 0 정성 조정</x:v>
      </x:c>
      <x:c r="Y83" s="101" t="str">
        <x:v>유효 학습 0회와 진단 근거에서 해당 개념의 뚜렷한 학습 필요가 확인되지 않음. 형식은 맞지만 가정법에 대한 풀이·진단 근거가 전혀 없어 추천 근거가 없습니다.</x:v>
      </x:c>
      <x:c r="Z83" s="101" t="str">
        <x:v>우선 검토</x:v>
      </x:c>
      <x:c r="AA83" s="101" t="str">
        <x:v>Codex 초안</x:v>
      </x:c>
      <x:c r="AB83" s="101" t="str"/>
    </x:row>
    <x:row r="84" ht="52" customHeight="1">
      <x:c r="A84" s="80" t="str">
        <x:v>user-08__content-27</x:v>
      </x:c>
      <x:c r="B84" s="80" t="str">
        <x:v>user-08</x:v>
      </x:c>
      <x:c r="C84" s="80" t="str">
        <x:v>희소 이력형</x:v>
      </x:c>
      <x:c r="D84" s="96" t="str">
        <x:v>기존 · 낮은 신뢰도의 희소 이력</x:v>
      </x:c>
      <x:c r="E84" s="92" t="n">
        <x:v>1</x:v>
      </x:c>
      <x:c r="F84" s="92" t="str">
        <x:v>기초 문법 학습 습관 만들기</x:v>
      </x:c>
      <x:c r="G84" s="83" t="str">
        <x:v>content-27</x:v>
      </x:c>
      <x:c r="H84" s="92" t="str">
        <x:v>가정법 개념 강의</x:v>
      </x:c>
      <x:c r="I84" s="83" t="str">
        <x:v>영상 강의</x:v>
      </x:c>
      <x:c r="J84" s="83" t="n">
        <x:v>2</x:v>
      </x:c>
      <x:c r="K84" s="83" t="n">
        <x:v>18</x:v>
      </x:c>
      <x:c r="L84" s="83" t="str">
        <x:v>가정법</x:v>
      </x:c>
      <x:c r="M84" s="110" t="n">
        <x:v>0</x:v>
      </x:c>
      <x:c r="N84" s="107" t="n">
        <x:v>3</x:v>
      </x:c>
      <x:c r="O84" s="107" t="str">
        <x:v>낮음</x:v>
      </x:c>
      <x:c r="P84" s="107" t="str">
        <x:v>근거 부족</x:v>
      </x:c>
      <x:c r="Q84" s="113"/>
      <x:c r="R84" s="113"/>
      <x:c r="S84" s="107" t="n">
        <x:v>0</x:v>
      </x:c>
      <x:c r="T84" s="86" t="str">
        <x:f>'개인적합도'!AE84</x:f>
        <x:v>low</x:v>
      </x:c>
      <x:c r="U84" s="86" t="str">
        <x:v>low</x:v>
      </x:c>
      <x:c r="V84" s="86" t="n">
        <x:f>IF(U84="high",IF(T84="high",3,IF(T84="medium",2,1)),IF(U84="medium",IF(T84="low",1,2),IF(T84="low",0,1)))</x:f>
        <x:v>0</x:v>
      </x:c>
      <x:c r="W84" s="89" t="n">
        <x:v>0</x:v>
      </x:c>
      <x:c r="X84" s="101" t="str">
        <x:v>매트릭스 일치</x:v>
      </x:c>
      <x:c r="Y84" s="101" t="str">
        <x:v>유효 학습 0회와 진단 근거에서 해당 개념의 뚜렷한 학습 필요가 확인되지 않음. 가정법 필요 근거가 없고 영상, 18분, 레벨 2도 사용자 특성과 맞지 않습니다.</x:v>
      </x:c>
      <x:c r="Z84" s="101" t="str">
        <x:v>우선 검토</x:v>
      </x:c>
      <x:c r="AA84" s="101" t="str">
        <x:v>Codex 초안</x:v>
      </x:c>
      <x:c r="AB84" s="101" t="str"/>
    </x:row>
    <x:row r="85" ht="52" customHeight="1">
      <x:c r="A85" s="80" t="str">
        <x:v>user-09__content-35</x:v>
      </x:c>
      <x:c r="B85" s="80" t="str">
        <x:v>user-09</x:v>
      </x:c>
      <x:c r="C85" s="80" t="str">
        <x:v>후보 부족형</x:v>
      </x:c>
      <x:c r="D85" s="96" t="str">
        <x:v>기존 · 최근 완료로 후보 다수 제외</x:v>
      </x:c>
      <x:c r="E85" s="92" t="n">
        <x:v>2</x:v>
      </x:c>
      <x:c r="F85" s="92" t="str">
        <x:v>수동태와 관계절 오답 교정</x:v>
      </x:c>
      <x:c r="G85" s="83" t="str">
        <x:v>content-35</x:v>
      </x:c>
      <x:c r="H85" s="92" t="str">
        <x:v>문맥 어휘 오답 교정</x:v>
      </x:c>
      <x:c r="I85" s="83" t="str">
        <x:v>퀴즈</x:v>
      </x:c>
      <x:c r="J85" s="83" t="n">
        <x:v>2</x:v>
      </x:c>
      <x:c r="K85" s="83" t="n">
        <x:v>9</x:v>
      </x:c>
      <x:c r="L85" s="83" t="str">
        <x:v>문맥 어휘</x:v>
      </x:c>
      <x:c r="M85" s="110" t="n">
        <x:v>59.14</x:v>
      </x:c>
      <x:c r="N85" s="107" t="n">
        <x:v>3</x:v>
      </x:c>
      <x:c r="O85" s="107" t="str">
        <x:v>보통</x:v>
      </x:c>
      <x:c r="P85" s="107" t="str">
        <x:v>행동</x:v>
      </x:c>
      <x:c r="Q85" s="113" t="n">
        <x:v>0.6</x:v>
      </x:c>
      <x:c r="R85" s="113" t="n">
        <x:v>0.5714</x:v>
      </x:c>
      <x:c r="S85" s="107" t="n">
        <x:v>7</x:v>
      </x:c>
      <x:c r="T85" s="86" t="str">
        <x:f>'개인적합도'!AE85</x:f>
        <x:v>medium</x:v>
      </x:c>
      <x:c r="U85" s="86" t="str">
        <x:v>medium</x:v>
      </x:c>
      <x:c r="V85" s="86" t="n">
        <x:f>IF(U85="high",IF(T85="high",3,IF(T85="medium",2,1)),IF(U85="medium",IF(T85="low",1,2),IF(T85="low",0,1)))</x:f>
        <x:v>2</x:v>
      </x:c>
      <x:c r="W85" s="89" t="n">
        <x:v>2</x:v>
      </x:c>
      <x:c r="X85" s="101" t="str">
        <x:v>매트릭스 일치</x:v>
      </x:c>
      <x:c r="Y85" s="101" t="str">
        <x:v>최근 5회 오답률 60%, 누적 57.14%, 진단 N/A%로 중간 학습 필요. 명시 목표 개념은 아니지만 실제 문맥 어휘 취약 근거가 있고 퀴즈, 9분, 레벨 2가 잘 맞습니다.</x:v>
      </x:c>
      <x:c r="Z85" s="101" t="str">
        <x:v>우선 검토</x:v>
      </x:c>
      <x:c r="AA85" s="101" t="str">
        <x:v>Codex 초안</x:v>
      </x:c>
      <x:c r="AB85" s="101" t="str"/>
    </x:row>
    <x:row r="86" ht="52" customHeight="1">
      <x:c r="A86" s="80" t="str">
        <x:v>user-09__content-02</x:v>
      </x:c>
      <x:c r="B86" s="80" t="str">
        <x:v>user-09</x:v>
      </x:c>
      <x:c r="C86" s="80" t="str">
        <x:v>후보 부족형</x:v>
      </x:c>
      <x:c r="D86" s="96" t="str">
        <x:v>기존 · 최근 완료로 후보 다수 제외</x:v>
      </x:c>
      <x:c r="E86" s="92" t="n">
        <x:v>2</x:v>
      </x:c>
      <x:c r="F86" s="92" t="str">
        <x:v>수동태와 관계절 오답 교정</x:v>
      </x:c>
      <x:c r="G86" s="83" t="str">
        <x:v>content-02</x:v>
      </x:c>
      <x:c r="H86" s="92" t="str">
        <x:v>현재완료 개념 강의</x:v>
      </x:c>
      <x:c r="I86" s="83" t="str">
        <x:v>영상 강의</x:v>
      </x:c>
      <x:c r="J86" s="83" t="n">
        <x:v>2</x:v>
      </x:c>
      <x:c r="K86" s="83" t="n">
        <x:v>18</x:v>
      </x:c>
      <x:c r="L86" s="83" t="str">
        <x:v>현재완료</x:v>
      </x:c>
      <x:c r="M86" s="110" t="n">
        <x:v>0</x:v>
      </x:c>
      <x:c r="N86" s="107" t="n">
        <x:v>8</x:v>
      </x:c>
      <x:c r="O86" s="107" t="str">
        <x:v>낮음</x:v>
      </x:c>
      <x:c r="P86" s="107" t="str">
        <x:v>근거 부족</x:v>
      </x:c>
      <x:c r="Q86" s="113"/>
      <x:c r="R86" s="113"/>
      <x:c r="S86" s="107" t="n">
        <x:v>0</x:v>
      </x:c>
      <x:c r="T86" s="86" t="str">
        <x:f>'개인적합도'!AE86</x:f>
        <x:v>medium</x:v>
      </x:c>
      <x:c r="U86" s="86" t="str">
        <x:v>low</x:v>
      </x:c>
      <x:c r="V86" s="86" t="n">
        <x:f>IF(U86="high",IF(T86="high",3,IF(T86="medium",2,1)),IF(U86="medium",IF(T86="low",1,2),IF(T86="low",0,1)))</x:f>
        <x:v>1</x:v>
      </x:c>
      <x:c r="W86" s="89" t="n">
        <x:v>0</x:v>
      </x:c>
      <x:c r="X86" s="101" t="str">
        <x:v>1 → 0 정성 조정</x:v>
      </x:c>
      <x:c r="Y86" s="101" t="str">
        <x:v>유효 학습 0회와 진단 근거에서 해당 개념의 뚜렷한 학습 필요가 확인되지 않음. 일반 문법 연관만 있고 현재완료 취약 근거가 없는 폴백 후보라 추천 근거가 없습니다.</x:v>
      </x:c>
      <x:c r="Z86" s="101" t="str">
        <x:v>우선 검토</x:v>
      </x:c>
      <x:c r="AA86" s="101" t="str">
        <x:v>Codex 초안</x:v>
      </x:c>
      <x:c r="AB86" s="101" t="str"/>
    </x:row>
    <x:row r="87" ht="52" customHeight="1">
      <x:c r="A87" s="80" t="str">
        <x:v>user-09__content-09</x:v>
      </x:c>
      <x:c r="B87" s="80" t="str">
        <x:v>user-09</x:v>
      </x:c>
      <x:c r="C87" s="80" t="str">
        <x:v>후보 부족형</x:v>
      </x:c>
      <x:c r="D87" s="96" t="str">
        <x:v>기존 · 최근 완료로 후보 다수 제외</x:v>
      </x:c>
      <x:c r="E87" s="92" t="n">
        <x:v>2</x:v>
      </x:c>
      <x:c r="F87" s="92" t="str">
        <x:v>수동태와 관계절 오답 교정</x:v>
      </x:c>
      <x:c r="G87" s="83" t="str">
        <x:v>content-09</x:v>
      </x:c>
      <x:c r="H87" s="92" t="str">
        <x:v>과거완료 심화 문제</x:v>
      </x:c>
      <x:c r="I87" s="83" t="str">
        <x:v>심화 문제</x:v>
      </x:c>
      <x:c r="J87" s="83" t="n">
        <x:v>3</x:v>
      </x:c>
      <x:c r="K87" s="83" t="n">
        <x:v>22</x:v>
      </x:c>
      <x:c r="L87" s="83" t="str">
        <x:v>과거완료</x:v>
      </x:c>
      <x:c r="M87" s="110" t="n">
        <x:v>0</x:v>
      </x:c>
      <x:c r="N87" s="107" t="n">
        <x:v>7</x:v>
      </x:c>
      <x:c r="O87" s="107" t="str">
        <x:v>낮음</x:v>
      </x:c>
      <x:c r="P87" s="107" t="str">
        <x:v>근거 부족</x:v>
      </x:c>
      <x:c r="Q87" s="113"/>
      <x:c r="R87" s="113"/>
      <x:c r="S87" s="107" t="n">
        <x:v>0</x:v>
      </x:c>
      <x:c r="T87" s="86" t="str">
        <x:f>'개인적합도'!AE87</x:f>
        <x:v>low</x:v>
      </x:c>
      <x:c r="U87" s="86" t="str">
        <x:v>low</x:v>
      </x:c>
      <x:c r="V87" s="86" t="n">
        <x:f>IF(U87="high",IF(T87="high",3,IF(T87="medium",2,1)),IF(U87="medium",IF(T87="low",1,2),IF(T87="low",0,1)))</x:f>
        <x:v>0</x:v>
      </x:c>
      <x:c r="W87" s="89" t="n">
        <x:v>0</x:v>
      </x:c>
      <x:c r="X87" s="101" t="str">
        <x:v>매트릭스 일치</x:v>
      </x:c>
      <x:c r="Y87" s="101" t="str">
        <x:v>유효 학습 0회와 진단 근거에서 해당 개념의 뚜렷한 학습 필요가 확인되지 않음. 과거완료 취약 근거가 없고 비선호 유형, 22분, 레벨 3인 폴백 후보입니다.</x:v>
      </x:c>
      <x:c r="Z87" s="101" t="str">
        <x:v>우선 검토</x:v>
      </x:c>
      <x:c r="AA87" s="101" t="str">
        <x:v>Codex 초안</x:v>
      </x:c>
      <x:c r="AB87" s="101" t="str"/>
    </x:row>
    <x:row r="88" ht="52" customHeight="1">
      <x:c r="A88" s="80" t="str">
        <x:v>user-10__content-21</x:v>
      </x:c>
      <x:c r="B88" s="80" t="str">
        <x:v>user-10</x:v>
      </x:c>
      <x:c r="C88" s="80" t="str">
        <x:v>다양성 검증형</x:v>
      </x:c>
      <x:c r="D88" s="96" t="str">
        <x:v>기존 · 동점과 동일 유형 집중</x:v>
      </x:c>
      <x:c r="E88" s="92" t="n">
        <x:v>2</x:v>
      </x:c>
      <x:c r="F88" s="92" t="str">
        <x:v>문법과 독해를 균형 있게 보완</x:v>
      </x:c>
      <x:c r="G88" s="83" t="str">
        <x:v>content-21</x:v>
      </x:c>
      <x:c r="H88" s="92" t="str">
        <x:v>관계대명사 핵심 퀴즈</x:v>
      </x:c>
      <x:c r="I88" s="83" t="str">
        <x:v>퀴즈</x:v>
      </x:c>
      <x:c r="J88" s="83" t="n">
        <x:v>1</x:v>
      </x:c>
      <x:c r="K88" s="83" t="n">
        <x:v>6</x:v>
      </x:c>
      <x:c r="L88" s="83" t="str">
        <x:v>관계대명사</x:v>
      </x:c>
      <x:c r="M88" s="110" t="n">
        <x:v>60.75</x:v>
      </x:c>
      <x:c r="N88" s="107" t="n">
        <x:v>1</x:v>
      </x:c>
      <x:c r="O88" s="107" t="str">
        <x:v>보통</x:v>
      </x:c>
      <x:c r="P88" s="107" t="str">
        <x:v>행동</x:v>
      </x:c>
      <x:c r="Q88" s="113" t="n">
        <x:v>0.6</x:v>
      </x:c>
      <x:c r="R88" s="113" t="n">
        <x:v>0.625</x:v>
      </x:c>
      <x:c r="S88" s="107" t="n">
        <x:v>8</x:v>
      </x:c>
      <x:c r="T88" s="86" t="str">
        <x:f>'개인적합도'!AE88</x:f>
        <x:v>high</x:v>
      </x:c>
      <x:c r="U88" s="86" t="str">
        <x:v>medium</x:v>
      </x:c>
      <x:c r="V88" s="86" t="n">
        <x:f>IF(U88="high",IF(T88="high",3,IF(T88="medium",2,1)),IF(U88="medium",IF(T88="low",1,2),IF(T88="low",0,1)))</x:f>
        <x:v>2</x:v>
      </x:c>
      <x:c r="W88" s="89" t="n">
        <x:v>2</x:v>
      </x:c>
      <x:c r="X88" s="101" t="str">
        <x:v>매트릭스 일치</x:v>
      </x:c>
      <x:c r="Y88" s="101" t="str">
        <x:v>최근 5회 오답률 60%, 누적 62.5%, 진단 N/A%로 중간 학습 필요. 관계대명사 목표에 직접 맞고 짧아 완료 가능성이 높습니다.</x:v>
      </x:c>
      <x:c r="Z88" s="101" t="str">
        <x:v>일반</x:v>
      </x:c>
      <x:c r="AA88" s="101" t="str">
        <x:v>Codex 초안</x:v>
      </x:c>
      <x:c r="AB88" s="101" t="str"/>
    </x:row>
    <x:row r="89" ht="52" customHeight="1">
      <x:c r="A89" s="80" t="str">
        <x:v>user-10__content-22</x:v>
      </x:c>
      <x:c r="B89" s="80" t="str">
        <x:v>user-10</x:v>
      </x:c>
      <x:c r="C89" s="80" t="str">
        <x:v>다양성 검증형</x:v>
      </x:c>
      <x:c r="D89" s="96" t="str">
        <x:v>기존 · 동점과 동일 유형 집중</x:v>
      </x:c>
      <x:c r="E89" s="92" t="n">
        <x:v>2</x:v>
      </x:c>
      <x:c r="F89" s="92" t="str">
        <x:v>문법과 독해를 균형 있게 보완</x:v>
      </x:c>
      <x:c r="G89" s="83" t="str">
        <x:v>content-22</x:v>
      </x:c>
      <x:c r="H89" s="92" t="str">
        <x:v>관계대명사 개념 강의</x:v>
      </x:c>
      <x:c r="I89" s="83" t="str">
        <x:v>영상 강의</x:v>
      </x:c>
      <x:c r="J89" s="83" t="n">
        <x:v>2</x:v>
      </x:c>
      <x:c r="K89" s="83" t="n">
        <x:v>18</x:v>
      </x:c>
      <x:c r="L89" s="83" t="str">
        <x:v>관계대명사</x:v>
      </x:c>
      <x:c r="M89" s="110" t="n">
        <x:v>60.75</x:v>
      </x:c>
      <x:c r="N89" s="107" t="n">
        <x:v>1</x:v>
      </x:c>
      <x:c r="O89" s="107" t="str">
        <x:v>보통</x:v>
      </x:c>
      <x:c r="P89" s="107" t="str">
        <x:v>행동</x:v>
      </x:c>
      <x:c r="Q89" s="113" t="n">
        <x:v>0.6</x:v>
      </x:c>
      <x:c r="R89" s="113" t="n">
        <x:v>0.625</x:v>
      </x:c>
      <x:c r="S89" s="107" t="n">
        <x:v>8</x:v>
      </x:c>
      <x:c r="T89" s="86" t="str">
        <x:f>'개인적합도'!AE89</x:f>
        <x:v>medium</x:v>
      </x:c>
      <x:c r="U89" s="86" t="str">
        <x:v>medium</x:v>
      </x:c>
      <x:c r="V89" s="86" t="n">
        <x:f>IF(U89="high",IF(T89="high",3,IF(T89="medium",2,1)),IF(U89="medium",IF(T89="low",1,2),IF(T89="low",0,1)))</x:f>
        <x:v>2</x:v>
      </x:c>
      <x:c r="W89" s="89" t="n">
        <x:v>2</x:v>
      </x:c>
      <x:c r="X89" s="101" t="str">
        <x:v>매트릭스 일치</x:v>
      </x:c>
      <x:c r="Y89" s="101" t="str">
        <x:v>최근 5회 오답률 60%, 누적 62.5%, 진단 N/A%로 중간 학습 필요. 관계대명사 목표와 수준은 맞지만 영상 선호 근거가 없고 18분입니다.</x:v>
      </x:c>
      <x:c r="Z89" s="101" t="str">
        <x:v>우선 검토</x:v>
      </x:c>
      <x:c r="AA89" s="101" t="str">
        <x:v>Codex 초안</x:v>
      </x:c>
      <x:c r="AB89" s="101" t="str"/>
    </x:row>
    <x:row r="90" ht="52" customHeight="1">
      <x:c r="A90" s="80" t="str">
        <x:v>user-10__content-23</x:v>
      </x:c>
      <x:c r="B90" s="80" t="str">
        <x:v>user-10</x:v>
      </x:c>
      <x:c r="C90" s="80" t="str">
        <x:v>다양성 검증형</x:v>
      </x:c>
      <x:c r="D90" s="96" t="str">
        <x:v>기존 · 동점과 동일 유형 집중</x:v>
      </x:c>
      <x:c r="E90" s="92" t="n">
        <x:v>2</x:v>
      </x:c>
      <x:c r="F90" s="92" t="str">
        <x:v>문법과 독해를 균형 있게 보완</x:v>
      </x:c>
      <x:c r="G90" s="83" t="str">
        <x:v>content-23</x:v>
      </x:c>
      <x:c r="H90" s="92" t="str">
        <x:v>관계대명사 예문 읽기</x:v>
      </x:c>
      <x:c r="I90" s="83" t="str">
        <x:v>예문 읽기</x:v>
      </x:c>
      <x:c r="J90" s="83" t="n">
        <x:v>2</x:v>
      </x:c>
      <x:c r="K90" s="83" t="n">
        <x:v>12</x:v>
      </x:c>
      <x:c r="L90" s="83" t="str">
        <x:v>관계대명사</x:v>
      </x:c>
      <x:c r="M90" s="110" t="n">
        <x:v>60.75</x:v>
      </x:c>
      <x:c r="N90" s="107" t="n">
        <x:v>1</x:v>
      </x:c>
      <x:c r="O90" s="107" t="str">
        <x:v>보통</x:v>
      </x:c>
      <x:c r="P90" s="107" t="str">
        <x:v>행동</x:v>
      </x:c>
      <x:c r="Q90" s="113" t="n">
        <x:v>0.6</x:v>
      </x:c>
      <x:c r="R90" s="113" t="n">
        <x:v>0.625</x:v>
      </x:c>
      <x:c r="S90" s="107" t="n">
        <x:v>8</x:v>
      </x:c>
      <x:c r="T90" s="86" t="str">
        <x:f>'개인적합도'!AE90</x:f>
        <x:v>high</x:v>
      </x:c>
      <x:c r="U90" s="86" t="str">
        <x:v>medium</x:v>
      </x:c>
      <x:c r="V90" s="86" t="n">
        <x:f>IF(U90="high",IF(T90="high",3,IF(T90="medium",2,1)),IF(U90="medium",IF(T90="low",1,2),IF(T90="low",0,1)))</x:f>
        <x:v>2</x:v>
      </x:c>
      <x:c r="W90" s="89" t="n">
        <x:v>3</x:v>
      </x:c>
      <x:c r="X90" s="101" t="str">
        <x:v>2 → 3 정성 조정</x:v>
      </x:c>
      <x:c r="Y90" s="101" t="str">
        <x:v>최근 5회 오답률 60%, 누적 62.5%, 진단 N/A%로 중간 학습 필요. 관계대명사 목표, 읽기 선호, 12분, 레벨 2가 모두 맞습니다.</x:v>
      </x:c>
      <x:c r="Z90" s="101" t="str">
        <x:v>우선 검토</x:v>
      </x:c>
      <x:c r="AA90" s="101" t="str">
        <x:v>Codex 초안</x:v>
      </x:c>
      <x:c r="AB90" s="101" t="str"/>
    </x:row>
    <x:row r="91" ht="52" customHeight="1">
      <x:c r="A91" s="80" t="str">
        <x:v>user-10__content-24</x:v>
      </x:c>
      <x:c r="B91" s="80" t="str">
        <x:v>user-10</x:v>
      </x:c>
      <x:c r="C91" s="80" t="str">
        <x:v>다양성 검증형</x:v>
      </x:c>
      <x:c r="D91" s="96" t="str">
        <x:v>기존 · 동점과 동일 유형 집중</x:v>
      </x:c>
      <x:c r="E91" s="92" t="n">
        <x:v>2</x:v>
      </x:c>
      <x:c r="F91" s="92" t="str">
        <x:v>문법과 독해를 균형 있게 보완</x:v>
      </x:c>
      <x:c r="G91" s="83" t="str">
        <x:v>content-24</x:v>
      </x:c>
      <x:c r="H91" s="92" t="str">
        <x:v>관계대명사 심화 문제</x:v>
      </x:c>
      <x:c r="I91" s="83" t="str">
        <x:v>심화 문제</x:v>
      </x:c>
      <x:c r="J91" s="83" t="n">
        <x:v>3</x:v>
      </x:c>
      <x:c r="K91" s="83" t="n">
        <x:v>22</x:v>
      </x:c>
      <x:c r="L91" s="83" t="str">
        <x:v>관계대명사</x:v>
      </x:c>
      <x:c r="M91" s="110" t="n">
        <x:v>60.75</x:v>
      </x:c>
      <x:c r="N91" s="107" t="n">
        <x:v>1</x:v>
      </x:c>
      <x:c r="O91" s="107" t="str">
        <x:v>보통</x:v>
      </x:c>
      <x:c r="P91" s="107" t="str">
        <x:v>행동</x:v>
      </x:c>
      <x:c r="Q91" s="113" t="n">
        <x:v>0.6</x:v>
      </x:c>
      <x:c r="R91" s="113" t="n">
        <x:v>0.625</x:v>
      </x:c>
      <x:c r="S91" s="107" t="n">
        <x:v>8</x:v>
      </x:c>
      <x:c r="T91" s="86" t="str">
        <x:f>'개인적합도'!AE91</x:f>
        <x:v>medium</x:v>
      </x:c>
      <x:c r="U91" s="86" t="str">
        <x:v>medium</x:v>
      </x:c>
      <x:c r="V91" s="86" t="n">
        <x:f>IF(U91="high",IF(T91="high",3,IF(T91="medium",2,1)),IF(U91="medium",IF(T91="low",1,2),IF(T91="low",0,1)))</x:f>
        <x:v>2</x:v>
      </x:c>
      <x:c r="W91" s="89" t="n">
        <x:v>2</x:v>
      </x:c>
      <x:c r="X91" s="101" t="str">
        <x:v>매트릭스 일치</x:v>
      </x:c>
      <x:c r="Y91" s="101" t="str">
        <x:v>최근 5회 오답률 60%, 누적 62.5%, 진단 N/A%로 중간 학습 필요. 문제 유형은 선호하지만 22분과 레벨 3이 부담입니다.</x:v>
      </x:c>
      <x:c r="Z91" s="101" t="str">
        <x:v>일반</x:v>
      </x:c>
      <x:c r="AA91" s="101" t="str">
        <x:v>Codex 초안</x:v>
      </x:c>
      <x:c r="AB91" s="101" t="str"/>
    </x:row>
    <x:row r="92" ht="52" customHeight="1">
      <x:c r="A92" s="80" t="str">
        <x:v>user-10__content-25</x:v>
      </x:c>
      <x:c r="B92" s="80" t="str">
        <x:v>user-10</x:v>
      </x:c>
      <x:c r="C92" s="80" t="str">
        <x:v>다양성 검증형</x:v>
      </x:c>
      <x:c r="D92" s="96" t="str">
        <x:v>기존 · 동점과 동일 유형 집중</x:v>
      </x:c>
      <x:c r="E92" s="92" t="n">
        <x:v>2</x:v>
      </x:c>
      <x:c r="F92" s="92" t="str">
        <x:v>문법과 독해를 균형 있게 보완</x:v>
      </x:c>
      <x:c r="G92" s="83" t="str">
        <x:v>content-25</x:v>
      </x:c>
      <x:c r="H92" s="92" t="str">
        <x:v>관계대명사 오답 교정</x:v>
      </x:c>
      <x:c r="I92" s="83" t="str">
        <x:v>퀴즈</x:v>
      </x:c>
      <x:c r="J92" s="83" t="n">
        <x:v>2</x:v>
      </x:c>
      <x:c r="K92" s="83" t="n">
        <x:v>9</x:v>
      </x:c>
      <x:c r="L92" s="83" t="str">
        <x:v>관계대명사</x:v>
      </x:c>
      <x:c r="M92" s="110" t="n">
        <x:v>60.75</x:v>
      </x:c>
      <x:c r="N92" s="107" t="n">
        <x:v>1</x:v>
      </x:c>
      <x:c r="O92" s="107" t="str">
        <x:v>보통</x:v>
      </x:c>
      <x:c r="P92" s="107" t="str">
        <x:v>행동</x:v>
      </x:c>
      <x:c r="Q92" s="113" t="n">
        <x:v>0.6</x:v>
      </x:c>
      <x:c r="R92" s="113" t="n">
        <x:v>0.625</x:v>
      </x:c>
      <x:c r="S92" s="107" t="n">
        <x:v>8</x:v>
      </x:c>
      <x:c r="T92" s="86" t="str">
        <x:f>'개인적합도'!AE92</x:f>
        <x:v>high</x:v>
      </x:c>
      <x:c r="U92" s="86" t="str">
        <x:v>medium</x:v>
      </x:c>
      <x:c r="V92" s="86" t="n">
        <x:f>IF(U92="high",IF(T92="high",3,IF(T92="medium",2,1)),IF(U92="medium",IF(T92="low",1,2),IF(T92="low",0,1)))</x:f>
        <x:v>2</x:v>
      </x:c>
      <x:c r="W92" s="89" t="n">
        <x:v>3</x:v>
      </x:c>
      <x:c r="X92" s="101" t="str">
        <x:v>2 → 3 정성 조정</x:v>
      </x:c>
      <x:c r="Y92" s="101" t="str">
        <x:v>최근 5회 오답률 60%, 누적 62.5%, 진단 N/A%로 중간 학습 필요. 관계대명사 목표를 레벨 2의 짧은 콘텐츠로 직접 교정합니다.</x:v>
      </x:c>
      <x:c r="Z92" s="101" t="str">
        <x:v>우선 검토</x:v>
      </x:c>
      <x:c r="AA92" s="101" t="str">
        <x:v>Codex 초안</x:v>
      </x:c>
      <x:c r="AB92" s="101" t="str"/>
    </x:row>
    <x:row r="93" ht="52" customHeight="1">
      <x:c r="A93" s="80" t="str">
        <x:v>user-10__content-11</x:v>
      </x:c>
      <x:c r="B93" s="80" t="str">
        <x:v>user-10</x:v>
      </x:c>
      <x:c r="C93" s="80" t="str">
        <x:v>다양성 검증형</x:v>
      </x:c>
      <x:c r="D93" s="96" t="str">
        <x:v>기존 · 동점과 동일 유형 집중</x:v>
      </x:c>
      <x:c r="E93" s="92" t="n">
        <x:v>2</x:v>
      </x:c>
      <x:c r="F93" s="92" t="str">
        <x:v>문법과 독해를 균형 있게 보완</x:v>
      </x:c>
      <x:c r="G93" s="83" t="str">
        <x:v>content-11</x:v>
      </x:c>
      <x:c r="H93" s="92" t="str">
        <x:v>조동사 핵심 퀴즈</x:v>
      </x:c>
      <x:c r="I93" s="83" t="str">
        <x:v>퀴즈</x:v>
      </x:c>
      <x:c r="J93" s="83" t="n">
        <x:v>1</x:v>
      </x:c>
      <x:c r="K93" s="83" t="n">
        <x:v>6</x:v>
      </x:c>
      <x:c r="L93" s="83" t="str">
        <x:v>조동사</x:v>
      </x:c>
      <x:c r="M93" s="110" t="n">
        <x:v>59.14</x:v>
      </x:c>
      <x:c r="N93" s="107" t="n">
        <x:v>2</x:v>
      </x:c>
      <x:c r="O93" s="107" t="str">
        <x:v>보통</x:v>
      </x:c>
      <x:c r="P93" s="107" t="str">
        <x:v>행동</x:v>
      </x:c>
      <x:c r="Q93" s="113" t="n">
        <x:v>0.6</x:v>
      </x:c>
      <x:c r="R93" s="113" t="n">
        <x:v>0.5714</x:v>
      </x:c>
      <x:c r="S93" s="107" t="n">
        <x:v>7</x:v>
      </x:c>
      <x:c r="T93" s="86" t="str">
        <x:f>'개인적합도'!AE93</x:f>
        <x:v>medium</x:v>
      </x:c>
      <x:c r="U93" s="86" t="str">
        <x:v>medium</x:v>
      </x:c>
      <x:c r="V93" s="86" t="n">
        <x:f>IF(U93="high",IF(T93="high",3,IF(T93="medium",2,1)),IF(U93="medium",IF(T93="low",1,2),IF(T93="low",0,1)))</x:f>
        <x:v>2</x:v>
      </x:c>
      <x:c r="W93" s="89" t="n">
        <x:v>2</x:v>
      </x:c>
      <x:c r="X93" s="101" t="str">
        <x:v>매트릭스 일치</x:v>
      </x:c>
      <x:c r="Y93" s="101" t="str">
        <x:v>최근 5회 오답률 60%, 누적 57.14%, 진단 N/A%로 중간 학습 필요. 문법 보완에는 적절하지만 조동사는 명시 목표와 간접적으로 일치합니다.</x:v>
      </x:c>
      <x:c r="Z93" s="101" t="str">
        <x:v>우선 검토</x:v>
      </x:c>
      <x:c r="AA93" s="101" t="str">
        <x:v>Codex 초안</x:v>
      </x:c>
      <x:c r="AB93" s="101" t="str"/>
    </x:row>
    <x:row r="94" ht="52" customHeight="1">
      <x:c r="A94" s="80" t="str">
        <x:v>user-10__content-12</x:v>
      </x:c>
      <x:c r="B94" s="80" t="str">
        <x:v>user-10</x:v>
      </x:c>
      <x:c r="C94" s="80" t="str">
        <x:v>다양성 검증형</x:v>
      </x:c>
      <x:c r="D94" s="96" t="str">
        <x:v>기존 · 동점과 동일 유형 집중</x:v>
      </x:c>
      <x:c r="E94" s="92" t="n">
        <x:v>2</x:v>
      </x:c>
      <x:c r="F94" s="92" t="str">
        <x:v>문법과 독해를 균형 있게 보완</x:v>
      </x:c>
      <x:c r="G94" s="83" t="str">
        <x:v>content-12</x:v>
      </x:c>
      <x:c r="H94" s="92" t="str">
        <x:v>조동사 개념 강의</x:v>
      </x:c>
      <x:c r="I94" s="83" t="str">
        <x:v>영상 강의</x:v>
      </x:c>
      <x:c r="J94" s="83" t="n">
        <x:v>2</x:v>
      </x:c>
      <x:c r="K94" s="83" t="n">
        <x:v>18</x:v>
      </x:c>
      <x:c r="L94" s="83" t="str">
        <x:v>조동사</x:v>
      </x:c>
      <x:c r="M94" s="110" t="n">
        <x:v>59.14</x:v>
      </x:c>
      <x:c r="N94" s="107" t="n">
        <x:v>2</x:v>
      </x:c>
      <x:c r="O94" s="107" t="str">
        <x:v>보통</x:v>
      </x:c>
      <x:c r="P94" s="107" t="str">
        <x:v>행동</x:v>
      </x:c>
      <x:c r="Q94" s="113" t="n">
        <x:v>0.6</x:v>
      </x:c>
      <x:c r="R94" s="113" t="n">
        <x:v>0.5714</x:v>
      </x:c>
      <x:c r="S94" s="107" t="n">
        <x:v>7</x:v>
      </x:c>
      <x:c r="T94" s="86" t="str">
        <x:f>'개인적합도'!AE94</x:f>
        <x:v>medium</x:v>
      </x:c>
      <x:c r="U94" s="86" t="str">
        <x:v>medium</x:v>
      </x:c>
      <x:c r="V94" s="86" t="n">
        <x:f>IF(U94="high",IF(T94="high",3,IF(T94="medium",2,1)),IF(U94="medium",IF(T94="low",1,2),IF(T94="low",0,1)))</x:f>
        <x:v>2</x:v>
      </x:c>
      <x:c r="W94" s="89" t="n">
        <x:v>1</x:v>
      </x:c>
      <x:c r="X94" s="101" t="str">
        <x:v>2 → 1 정성 조정</x:v>
      </x:c>
      <x:c r="Y94" s="101" t="str">
        <x:v>최근 5회 오답률 60%, 누적 57.14%, 진단 N/A%로 중간 학습 필요. 간접 문법 목표에 비선호 영상과 18분 부담이 겹칩니다.</x:v>
      </x:c>
      <x:c r="Z94" s="101" t="str">
        <x:v>우선 검토</x:v>
      </x:c>
      <x:c r="AA94" s="101" t="str">
        <x:v>Codex 초안</x:v>
      </x:c>
      <x:c r="AB94" s="101" t="str"/>
    </x:row>
    <x:row r="95" ht="52" customHeight="1">
      <x:c r="A95" s="80" t="str">
        <x:v>user-10__content-14</x:v>
      </x:c>
      <x:c r="B95" s="80" t="str">
        <x:v>user-10</x:v>
      </x:c>
      <x:c r="C95" s="80" t="str">
        <x:v>다양성 검증형</x:v>
      </x:c>
      <x:c r="D95" s="96" t="str">
        <x:v>기존 · 동점과 동일 유형 집중</x:v>
      </x:c>
      <x:c r="E95" s="92" t="n">
        <x:v>2</x:v>
      </x:c>
      <x:c r="F95" s="92" t="str">
        <x:v>문법과 독해를 균형 있게 보완</x:v>
      </x:c>
      <x:c r="G95" s="83" t="str">
        <x:v>content-14</x:v>
      </x:c>
      <x:c r="H95" s="92" t="str">
        <x:v>조동사 심화 문제</x:v>
      </x:c>
      <x:c r="I95" s="83" t="str">
        <x:v>심화 문제</x:v>
      </x:c>
      <x:c r="J95" s="83" t="n">
        <x:v>3</x:v>
      </x:c>
      <x:c r="K95" s="83" t="n">
        <x:v>22</x:v>
      </x:c>
      <x:c r="L95" s="83" t="str">
        <x:v>조동사</x:v>
      </x:c>
      <x:c r="M95" s="110" t="n">
        <x:v>59.14</x:v>
      </x:c>
      <x:c r="N95" s="107" t="n">
        <x:v>2</x:v>
      </x:c>
      <x:c r="O95" s="107" t="str">
        <x:v>보통</x:v>
      </x:c>
      <x:c r="P95" s="107" t="str">
        <x:v>행동</x:v>
      </x:c>
      <x:c r="Q95" s="113" t="n">
        <x:v>0.6</x:v>
      </x:c>
      <x:c r="R95" s="113" t="n">
        <x:v>0.5714</x:v>
      </x:c>
      <x:c r="S95" s="107" t="n">
        <x:v>7</x:v>
      </x:c>
      <x:c r="T95" s="86" t="str">
        <x:f>'개인적합도'!AE95</x:f>
        <x:v>medium</x:v>
      </x:c>
      <x:c r="U95" s="86" t="str">
        <x:v>medium</x:v>
      </x:c>
      <x:c r="V95" s="86" t="n">
        <x:f>IF(U95="high",IF(T95="high",3,IF(T95="medium",2,1)),IF(U95="medium",IF(T95="low",1,2),IF(T95="low",0,1)))</x:f>
        <x:v>2</x:v>
      </x:c>
      <x:c r="W95" s="89" t="n">
        <x:v>1</x:v>
      </x:c>
      <x:c r="X95" s="101" t="str">
        <x:v>2 → 1 정성 조정</x:v>
      </x:c>
      <x:c r="Y95" s="101" t="str">
        <x:v>최근 5회 오답률 60%, 누적 57.14%, 진단 N/A%로 중간 학습 필요. 문제 유형은 맞지만 간접 목표, 레벨 3, 22분 부담이 있습니다.</x:v>
      </x:c>
      <x:c r="Z95" s="101" t="str">
        <x:v>우선 검토</x:v>
      </x:c>
      <x:c r="AA95" s="101" t="str">
        <x:v>Codex 초안</x:v>
      </x:c>
      <x:c r="AB95" s="101" t="str"/>
    </x:row>
    <x:row r="96" ht="52" customHeight="1">
      <x:c r="A96" s="80" t="str">
        <x:v>user-10__content-15</x:v>
      </x:c>
      <x:c r="B96" s="80" t="str">
        <x:v>user-10</x:v>
      </x:c>
      <x:c r="C96" s="80" t="str">
        <x:v>다양성 검증형</x:v>
      </x:c>
      <x:c r="D96" s="96" t="str">
        <x:v>기존 · 동점과 동일 유형 집중</x:v>
      </x:c>
      <x:c r="E96" s="92" t="n">
        <x:v>2</x:v>
      </x:c>
      <x:c r="F96" s="92" t="str">
        <x:v>문법과 독해를 균형 있게 보완</x:v>
      </x:c>
      <x:c r="G96" s="83" t="str">
        <x:v>content-15</x:v>
      </x:c>
      <x:c r="H96" s="92" t="str">
        <x:v>조동사 오답 교정</x:v>
      </x:c>
      <x:c r="I96" s="83" t="str">
        <x:v>퀴즈</x:v>
      </x:c>
      <x:c r="J96" s="83" t="n">
        <x:v>2</x:v>
      </x:c>
      <x:c r="K96" s="83" t="n">
        <x:v>9</x:v>
      </x:c>
      <x:c r="L96" s="83" t="str">
        <x:v>조동사</x:v>
      </x:c>
      <x:c r="M96" s="110" t="n">
        <x:v>59.14</x:v>
      </x:c>
      <x:c r="N96" s="107" t="n">
        <x:v>2</x:v>
      </x:c>
      <x:c r="O96" s="107" t="str">
        <x:v>보통</x:v>
      </x:c>
      <x:c r="P96" s="107" t="str">
        <x:v>행동</x:v>
      </x:c>
      <x:c r="Q96" s="113" t="n">
        <x:v>0.6</x:v>
      </x:c>
      <x:c r="R96" s="113" t="n">
        <x:v>0.5714</x:v>
      </x:c>
      <x:c r="S96" s="107" t="n">
        <x:v>7</x:v>
      </x:c>
      <x:c r="T96" s="86" t="str">
        <x:f>'개인적합도'!AE96</x:f>
        <x:v>medium</x:v>
      </x:c>
      <x:c r="U96" s="86" t="str">
        <x:v>medium</x:v>
      </x:c>
      <x:c r="V96" s="86" t="n">
        <x:f>IF(U96="high",IF(T96="high",3,IF(T96="medium",2,1)),IF(U96="medium",IF(T96="low",1,2),IF(T96="low",0,1)))</x:f>
        <x:v>2</x:v>
      </x:c>
      <x:c r="W96" s="89" t="n">
        <x:v>2</x:v>
      </x:c>
      <x:c r="X96" s="101" t="str">
        <x:v>매트릭스 일치</x:v>
      </x:c>
      <x:c r="Y96" s="101" t="str">
        <x:v>최근 5회 오답률 60%, 누적 57.14%, 진단 N/A%로 중간 학습 필요. 문법 취약을 짧게 교정하는 합리적인 보조 후보입니다.</x:v>
      </x:c>
      <x:c r="Z96" s="101" t="str">
        <x:v>우선 검토</x:v>
      </x:c>
      <x:c r="AA96" s="101" t="str">
        <x:v>Codex 초안</x:v>
      </x:c>
      <x:c r="AB96" s="101" t="str"/>
    </x:row>
    <x:row r="97" ht="52" customHeight="1">
      <x:c r="A97" s="81" t="str">
        <x:v>user-10__content-31</x:v>
      </x:c>
      <x:c r="B97" s="81" t="str">
        <x:v>user-10</x:v>
      </x:c>
      <x:c r="C97" s="81" t="str">
        <x:v>다양성 검증형</x:v>
      </x:c>
      <x:c r="D97" s="98" t="str">
        <x:v>기존 · 동점과 동일 유형 집중</x:v>
      </x:c>
      <x:c r="E97" s="93" t="n">
        <x:v>2</x:v>
      </x:c>
      <x:c r="F97" s="93" t="str">
        <x:v>문법과 독해를 균형 있게 보완</x:v>
      </x:c>
      <x:c r="G97" s="84" t="str">
        <x:v>content-31</x:v>
      </x:c>
      <x:c r="H97" s="93" t="str">
        <x:v>문맥 어휘 핵심 퀴즈</x:v>
      </x:c>
      <x:c r="I97" s="84" t="str">
        <x:v>퀴즈</x:v>
      </x:c>
      <x:c r="J97" s="84" t="n">
        <x:v>1</x:v>
      </x:c>
      <x:c r="K97" s="84" t="n">
        <x:v>6</x:v>
      </x:c>
      <x:c r="L97" s="84" t="str">
        <x:v>문맥 어휘</x:v>
      </x:c>
      <x:c r="M97" s="111" t="n">
        <x:v>59.14</x:v>
      </x:c>
      <x:c r="N97" s="108" t="n">
        <x:v>3</x:v>
      </x:c>
      <x:c r="O97" s="108" t="str">
        <x:v>보통</x:v>
      </x:c>
      <x:c r="P97" s="108" t="str">
        <x:v>행동</x:v>
      </x:c>
      <x:c r="Q97" s="114" t="n">
        <x:v>0.6</x:v>
      </x:c>
      <x:c r="R97" s="114" t="n">
        <x:v>0.5714</x:v>
      </x:c>
      <x:c r="S97" s="108" t="n">
        <x:v>7</x:v>
      </x:c>
      <x:c r="T97" s="87" t="str">
        <x:f>'개인적합도'!AE97</x:f>
        <x:v>high</x:v>
      </x:c>
      <x:c r="U97" s="87" t="str">
        <x:v>medium</x:v>
      </x:c>
      <x:c r="V97" s="87" t="n">
        <x:f>IF(U97="high",IF(T97="high",3,IF(T97="medium",2,1)),IF(U97="medium",IF(T97="low",1,2),IF(T97="low",0,1)))</x:f>
        <x:v>2</x:v>
      </x:c>
      <x:c r="W97" s="90" t="n">
        <x:v>3</x:v>
      </x:c>
      <x:c r="X97" s="102" t="str">
        <x:v>2 → 3 정성 조정</x:v>
      </x:c>
      <x:c r="Y97" s="102" t="str">
        <x:v>최근 5회 오답률 60%, 누적 57.14%, 진단 50%로 중간 학습 필요. 독해 목표와 문맥 어휘 취약을 함께 다뤄 문법 편중을 완화합니다.</x:v>
      </x:c>
      <x:c r="Z97" s="102" t="str">
        <x:v>우선 검토</x:v>
      </x:c>
      <x:c r="AA97" s="102" t="str">
        <x:v>Codex 초안</x:v>
      </x:c>
      <x:c r="AB97" s="102" t="str"/>
    </x:row>
  </x:sheetData>
  <x:mergeCells>
    <x:mergeCell ref="A1:AB1"/>
    <x:mergeCell ref="A2:AB2"/>
  </x:mergeCells>
  <x:conditionalFormatting sqref="T5:T97">
    <x:cfRule type="containsText" dxfId="13" priority="1" operator="containsText" text="high"/>
    <x:cfRule type="containsText" dxfId="14" priority="2" operator="containsText" text="medium"/>
    <x:cfRule type="containsText" dxfId="15" priority="3" operator="containsText" text="low"/>
  </x:conditionalFormatting>
  <x:conditionalFormatting sqref="V5:W97">
    <x:cfRule type="cellIs" dxfId="16" priority="4" operator="equal">
      <x:formula>3</x:formula>
    </x:cfRule>
    <x:cfRule type="cellIs" dxfId="17" priority="5" operator="equal">
      <x:formula>2</x:formula>
    </x:cfRule>
    <x:cfRule type="cellIs" dxfId="18" priority="6" operator="equal">
      <x:formula>1</x:formula>
    </x:cfRule>
    <x:cfRule type="cellIs" dxfId="19" priority="7" operator="equal">
      <x:formula>0</x:formula>
    </x:cfRule>
  </x:conditionalFormatting>
  <x:dataValidations count="2">
    <x:dataValidation type="whole" operator="between" sqref="W5:W97">
      <x:formula1>0</x:formula1>
      <x:formula2>3</x:formula2>
    </x:dataValidation>
    <x:dataValidation type="list" sqref="AA5:AA97">
      <x:formula1>"Codex 초안,검토 완료,수정 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6f9e403f2b4a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라벨 판단기준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사람 또는 AI가 같은 원천 정보를 보고 재현할 수 있도록 고정한 rubric-v2입니다.</x:v>
      </x:c>
      <x:c r="B2" s="7"/>
      <x:c r="C2" s="7"/>
      <x:c r="D2" s="7"/>
      <x:c r="E2" s="7"/>
      <x:c r="F2" s="7"/>
      <x:c r="G2" s="7"/>
      <x:c r="H2" s="7"/>
    </x:row>
    <x:row r="4">
      <x:c r="A4" s="9" t="str">
        <x:v>메타데이터</x:v>
      </x:c>
      <x:c r="B4" s="9"/>
      <x:c r="C4" s="9"/>
      <x:c r="D4" s="9"/>
      <x:c r="E4" s="9"/>
      <x:c r="F4" s="9"/>
      <x:c r="G4" s="9"/>
      <x:c r="H4" s="9"/>
    </x:row>
    <x:row r="5">
      <x:c r="A5" s="34" t="str">
        <x:v>Rubric version</x:v>
      </x:c>
      <x:c r="B5" s="36" t="str">
        <x:v>ai-coach-label-rubric.v2</x:v>
      </x:c>
    </x:row>
    <x:row r="6">
      <x:c r="A6" s="37" t="str">
        <x:v>Label version</x:v>
      </x:c>
      <x:c r="B6" s="39" t="str">
        <x:v>codex-rubric-judged.v2</x:v>
      </x:c>
    </x:row>
    <x:row r="7">
      <x:c r="A7" s="37" t="str">
        <x:v>작성 주체</x:v>
      </x:c>
      <x:c r="B7" s="39" t="str">
        <x:v>Codex 독립 검토</x:v>
      </x:c>
    </x:row>
    <x:row r="8">
      <x:c r="A8" s="40" t="str">
        <x:v>작성일</x:v>
      </x:c>
      <x:c r="B8" s="42" t="str">
        <x:v>2026-07-14</x:v>
      </x:c>
    </x:row>
    <x:row r="10" ht="34" customHeight="1">
      <x:c r="A10" s="31" t="str">
        <x:v>개인 적합도 항목</x:v>
      </x:c>
      <x:c r="B10" s="32" t="str">
        <x:v>최대점</x:v>
      </x:c>
      <x:c r="C10" s="32" t="str">
        <x:v>높음</x:v>
      </x:c>
      <x:c r="D10" s="32" t="str">
        <x:v>보통</x:v>
      </x:c>
      <x:c r="E10" s="32" t="str">
        <x:v>낮음</x:v>
      </x:c>
      <x:c r="F10" s="33" t="str">
        <x:v>주의사항</x:v>
      </x:c>
    </x:row>
    <x:row r="11" ht="42" customHeight="1">
      <x:c r="A11" s="124" t="str">
        <x:v>학습 목표</x:v>
      </x:c>
      <x:c r="B11" s="52" t="n">
        <x:v>35</x:v>
      </x:c>
      <x:c r="C11" s="52" t="str">
        <x:v>세부 목표 직접 일치 35</x:v>
      </x:c>
      <x:c r="D11" s="52" t="str">
        <x:v>넓은 목표 직접 지원 28 / 인접 18</x:v>
      </x:c>
      <x:c r="E11" s="52" t="str">
        <x:v>무관 5</x:v>
      </x:c>
      <x:c r="F11" s="125" t="str">
        <x:v>취약도와 오답률을 보지 않음</x:v>
      </x:c>
    </x:row>
    <x:row r="12" ht="42" customHeight="1">
      <x:c r="A12" s="126" t="str">
        <x:v>콘텐츠 유형</x:v>
      </x:c>
      <x:c r="B12" s="53" t="n">
        <x:v>25</x:v>
      </x:c>
      <x:c r="C12" s="53" t="str">
        <x:v>1순위+완료율≥75% 25 / 선호 22</x:v>
      </x:c>
      <x:c r="D12" s="53" t="str">
        <x:v>비선호지만 완료율≥75% 20 / 50~74% 16</x:v>
      </x:c>
      <x:c r="E12" s="53" t="str">
        <x:v>완료율&lt;50% 8</x:v>
      </x:c>
      <x:c r="F12" s="127" t="str">
        <x:v>미관찰 유형은 N/A</x:v>
      </x:c>
    </x:row>
    <x:row r="13" ht="42" customHeight="1">
      <x:c r="A13" s="126" t="str">
        <x:v>학습 시간</x:v>
      </x:c>
      <x:c r="B13" s="53" t="n">
        <x:v>20</x:v>
      </x:c>
      <x:c r="C13" s="53" t="str">
        <x:v>평균 이내 20</x:v>
      </x:c>
      <x:c r="D13" s="53" t="str">
        <x:v>1.25배 이내 16 / 1.5배 이내 10</x:v>
      </x:c>
      <x:c r="E13" s="53" t="str">
        <x:v>1.5배 초과 4</x:v>
      </x:c>
      <x:c r="F13" s="127" t="str">
        <x:v>프로필 없으면 N/A</x:v>
      </x:c>
    </x:row>
    <x:row r="14" ht="42" customHeight="1">
      <x:c r="A14" s="128" t="str">
        <x:v>수준·난이도</x:v>
      </x:c>
      <x:c r="B14" s="54" t="n">
        <x:v>20</x:v>
      </x:c>
      <x:c r="C14" s="54" t="str">
        <x:v>동일 20</x:v>
      </x:c>
      <x:c r="D14" s="54" t="str">
        <x:v>1단계 차이 14</x:v>
      </x:c>
      <x:c r="E14" s="54" t="str">
        <x:v>2단계 이상 5</x:v>
      </x:c>
      <x:c r="F14" s="129" t="str">
        <x:v>후보 필터와 별도 판단</x:v>
      </x:c>
    </x:row>
    <x:row r="16" ht="34" customHeight="1">
      <x:c r="A16" s="31" t="str">
        <x:v>개인 적합도 등급</x:v>
      </x:c>
      <x:c r="B16" s="32" t="str">
        <x:v>점수 범위</x:v>
      </x:c>
      <x:c r="C16" s="32" t="str">
        <x:v>의미</x:v>
      </x:c>
      <x:c r="D16" s="33" t="str">
        <x:v>산식</x:v>
      </x:c>
    </x:row>
    <x:row r="17">
      <x:c r="A17" s="34" t="str">
        <x:v>high</x:v>
      </x:c>
      <x:c r="B17" s="35" t="str">
        <x:v>80~100</x:v>
      </x:c>
      <x:c r="C17" s="35" t="str">
        <x:v>개인 특성과 콘텐츠 조건이 전반적으로 잘 맞음</x:v>
      </x:c>
      <x:c r="D17" s="36" t="str">
        <x:v>획득점수÷적용 최대점×100</x:v>
      </x:c>
    </x:row>
    <x:row r="18">
      <x:c r="A18" s="37" t="str">
        <x:v>medium</x:v>
      </x:c>
      <x:c r="B18" s="38" t="str">
        <x:v>50~79</x:v>
      </x:c>
      <x:c r="C18" s="38" t="str">
        <x:v>학습 가능하지만 일부 조건이 아쉬움</x:v>
      </x:c>
      <x:c r="D18" s="39" t="str">
        <x:v>N/A 항목은 분모에서 제외</x:v>
      </x:c>
    </x:row>
    <x:row r="19">
      <x:c r="A19" s="40" t="str">
        <x:v>low</x:v>
      </x:c>
      <x:c r="B19" s="41" t="str">
        <x:v>0~49</x:v>
      </x:c>
      <x:c r="C19" s="41" t="str">
        <x:v>목표 또는 실행 조건의 큰 불일치</x:v>
      </x:c>
      <x:c r="D19" s="42" t="str">
        <x:v>취약도는 포함하지 않음</x:v>
      </x:c>
    </x:row>
    <x:row r="21" ht="34" customHeight="1">
      <x:c r="A21" s="31" t="str">
        <x:v>학습 필요도</x:v>
      </x:c>
      <x:c r="B21" s="32" t="str">
        <x:v>행동 기준</x:v>
      </x:c>
      <x:c r="C21" s="32" t="str">
        <x:v>진단 기준</x:v>
      </x:c>
      <x:c r="D21" s="32" t="str">
        <x:v>희소 이력</x:v>
      </x:c>
      <x:c r="E21" s="32" t="str">
        <x:v>목표 보완</x:v>
      </x:c>
      <x:c r="F21" s="33" t="str">
        <x:v>주의사항</x:v>
      </x:c>
    </x:row>
    <x:row r="22" ht="46" customHeight="1">
      <x:c r="A22" s="124" t="str">
        <x:v>high</x:v>
      </x:c>
      <x:c r="B22" s="52" t="str">
        <x:v>5회 이상 최근 오답률≥70% 또는 10회 이상 누적≥65%</x:v>
      </x:c>
      <x:c r="C22" s="52" t="str">
        <x:v>진단 오답률≥67%</x:v>
      </x:c>
      <x:c r="D22" s="52" t="str">
        <x:v>행동 1~4회만으로 high 금지</x:v>
      </x:c>
      <x:c r="E22" s="52" t="str">
        <x:v>-</x:v>
      </x:c>
      <x:c r="F22" s="125" t="str">
        <x:v>최근 급락은 high 가능</x:v>
      </x:c>
    </x:row>
    <x:row r="23" ht="46" customHeight="1">
      <x:c r="A23" s="126" t="str">
        <x:v>medium</x:v>
      </x:c>
      <x:c r="B23" s="53" t="str">
        <x:v>5회 이상 최근/누적≥40%</x:v>
      </x:c>
      <x:c r="C23" s="53" t="str">
        <x:v>진단 34~66%</x:v>
      </x:c>
      <x:c r="D23" s="53" t="str">
        <x:v>1~4회에서 오답률≥50%</x:v>
      </x:c>
      <x:c r="E23" s="53" t="str">
        <x:v>데이터 없고 명시 목표와 정확히 일치</x:v>
      </x:c>
      <x:c r="F23" s="127" t="str">
        <x:v>미관찰을 숙달로 보지 않음</x:v>
      </x:c>
    </x:row>
    <x:row r="24" ht="46" customHeight="1">
      <x:c r="A24" s="128" t="str">
        <x:v>low</x:v>
      </x:c>
      <x:c r="B24" s="54" t="str">
        <x:v>위 조건 미충족</x:v>
      </x:c>
      <x:c r="C24" s="54" t="str">
        <x:v>근거 없음</x:v>
      </x:c>
      <x:c r="D24" s="54" t="str">
        <x:v>근거 없음</x:v>
      </x:c>
      <x:c r="E24" s="54" t="str">
        <x:v>목표와도 비직접</x:v>
      </x:c>
      <x:c r="F24" s="129" t="str">
        <x:v>폴백도 동일 기준</x:v>
      </x:c>
    </x:row>
    <x:row r="26" ht="34" customHeight="1">
      <x:c r="A26" s="31" t="str">
        <x:v>학습 필요도＼개인 적합도</x:v>
      </x:c>
      <x:c r="B26" s="32" t="str">
        <x:v>high</x:v>
      </x:c>
      <x:c r="C26" s="32" t="str">
        <x:v>medium</x:v>
      </x:c>
      <x:c r="D26" s="33" t="str">
        <x:v>low</x:v>
      </x:c>
    </x:row>
    <x:row r="27">
      <x:c r="A27" s="34" t="str">
        <x:v>high</x:v>
      </x:c>
      <x:c r="B27" s="35" t="n">
        <x:v>3</x:v>
      </x:c>
      <x:c r="C27" s="35" t="n">
        <x:v>2</x:v>
      </x:c>
      <x:c r="D27" s="36" t="n">
        <x:v>1</x:v>
      </x:c>
    </x:row>
    <x:row r="28">
      <x:c r="A28" s="37" t="str">
        <x:v>medium</x:v>
      </x:c>
      <x:c r="B28" s="38" t="n">
        <x:v>2</x:v>
      </x:c>
      <x:c r="C28" s="38" t="n">
        <x:v>2</x:v>
      </x:c>
      <x:c r="D28" s="39" t="n">
        <x:v>1</x:v>
      </x:c>
    </x:row>
    <x:row r="29">
      <x:c r="A29" s="40" t="str">
        <x:v>low</x:v>
      </x:c>
      <x:c r="B29" s="41" t="n">
        <x:v>1</x:v>
      </x:c>
      <x:c r="C29" s="41" t="n">
        <x:v>1</x:v>
      </x:c>
      <x:c r="D29" s="42" t="n">
        <x:v>0</x:v>
      </x:c>
    </x:row>
    <x:row r="31">
      <x:c r="A31" s="9" t="str">
        <x:v>최종 관련도 해석 및 정성 조정</x:v>
      </x:c>
      <x:c r="B31" s="9"/>
      <x:c r="C31" s="9"/>
      <x:c r="D31" s="9"/>
      <x:c r="E31" s="9"/>
      <x:c r="F31" s="9"/>
      <x:c r="G31" s="9"/>
      <x:c r="H31" s="9"/>
    </x:row>
    <x:row r="32">
      <x:c r="A32" s="132" t="str">
        <x:v>3: 지금 Top 3에 우선 배치할 콘텐츠</x:v>
      </x:c>
      <x:c r="B32" s="132"/>
      <x:c r="C32" s="132"/>
      <x:c r="D32" s="132"/>
      <x:c r="E32" s="132"/>
      <x:c r="F32" s="132"/>
      <x:c r="G32" s="132"/>
      <x:c r="H32" s="132"/>
    </x:row>
    <x:row r="33">
      <x:c r="A33" s="132" t="str">
        <x:v>2: 충분히 추천할 수 있으나 필요도 또는 실행 조건에 한 단계 아쉬움</x:v>
      </x:c>
      <x:c r="B33" s="132"/>
      <x:c r="C33" s="132"/>
      <x:c r="D33" s="132"/>
      <x:c r="E33" s="132"/>
      <x:c r="F33" s="132"/>
      <x:c r="G33" s="132"/>
      <x:c r="H33" s="132"/>
    </x:row>
    <x:row r="34">
      <x:c r="A34" s="132" t="str">
        <x:v>1: 관련성은 있으나 우선 추천하기 어려운 보조 후보</x:v>
      </x:c>
      <x:c r="B34" s="132"/>
      <x:c r="C34" s="132"/>
      <x:c r="D34" s="132"/>
      <x:c r="E34" s="132"/>
      <x:c r="F34" s="132"/>
      <x:c r="G34" s="132"/>
      <x:c r="H34" s="132"/>
    </x:row>
    <x:row r="35">
      <x:c r="A35" s="132" t="str">
        <x:v>0: 학습 필요 근거와 개인 적합 근거가 모두 부족한 후보</x:v>
      </x:c>
      <x:c r="B35" s="132"/>
      <x:c r="C35" s="132"/>
      <x:c r="D35" s="132"/>
      <x:c r="E35" s="132"/>
      <x:c r="F35" s="132"/>
      <x:c r="G35" s="132"/>
      <x:c r="H35" s="132"/>
    </x:row>
    <x:row r="36">
      <x:c r="A36" s="132" t="str">
        <x:v>정성 조정은 같은 등급 안의 난이도·형식 차이, 프로필 불확실성, 후보 채움·폴백의 근거 부재를 반영하며 반드시 판단 근거를 남깁니다.</x:v>
      </x:c>
      <x:c r="B36" s="132"/>
      <x:c r="C36" s="132"/>
      <x:c r="D36" s="132"/>
      <x:c r="E36" s="132"/>
      <x:c r="F36" s="132"/>
      <x:c r="G36" s="132"/>
      <x:c r="H36" s="132"/>
    </x:row>
    <x:row r="38">
      <x:c r="A38" s="61" t="str">
        <x:v>라벨 누출 방지</x:v>
      </x:c>
      <x:c r="B38" s="61"/>
      <x:c r="C38" s="61"/>
      <x:c r="D38" s="61"/>
      <x:c r="E38" s="61"/>
      <x:c r="F38" s="61"/>
      <x:c r="G38" s="61"/>
      <x:c r="H38" s="61"/>
    </x:row>
    <x:row r="39">
      <x:c r="A39" s="135" t="str">
        <x:v>라벨 작성 시 보지 않은 정보: 기존 랜덤 라벨, AI 개인 적합도, 50:50 최종 점수, 규칙/AI 추천 순위, 인기 점수, 추천 문구</x:v>
      </x:c>
      <x:c r="B39" s="135"/>
      <x:c r="C39" s="135"/>
      <x:c r="D39" s="135"/>
      <x:c r="E39" s="135"/>
      <x:c r="F39" s="135"/>
      <x:c r="G39" s="135"/>
      <x:c r="H39" s="135"/>
    </x:row>
    <x:row r="40">
      <x:c r="A40" s="135" t="str">
        <x:v>개인 적합도 판단에는 취약도·오답률을 사용하지 않습니다.</x:v>
      </x:c>
      <x:c r="B40" s="135"/>
      <x:c r="C40" s="135"/>
      <x:c r="D40" s="135"/>
      <x:c r="E40" s="135"/>
      <x:c r="F40" s="135"/>
      <x:c r="G40" s="135"/>
      <x:c r="H40" s="135"/>
    </x:row>
    <x:row r="41">
      <x:c r="A41" s="135" t="str">
        <x:v>최종 관련도는 원천 취약 근거와 확정한 개인 적합도만 사용합니다.</x:v>
      </x:c>
      <x:c r="B41" s="135"/>
      <x:c r="C41" s="135"/>
      <x:c r="D41" s="135"/>
      <x:c r="E41" s="135"/>
      <x:c r="F41" s="135"/>
      <x:c r="G41" s="135"/>
      <x:c r="H41" s="135"/>
    </x:row>
    <x:row r="42">
      <x:c r="A42" s="135" t="str">
        <x:v>참고: https://developers.openai.com/api/docs/guides/evaluation-best-practices</x:v>
      </x:c>
      <x:c r="B42" s="135"/>
      <x:c r="C42" s="135"/>
      <x:c r="D42" s="135"/>
      <x:c r="E42" s="135"/>
      <x:c r="F42" s="135"/>
      <x:c r="G42" s="135"/>
      <x:c r="H42" s="135"/>
    </x:row>
    <x:row r="44">
      <x:c r="A44" s="9" t="str">
        <x:v>검토 권장 항목</x:v>
      </x:c>
      <x:c r="B44" s="9"/>
      <x:c r="C44" s="9"/>
      <x:c r="D44" s="9"/>
      <x:c r="E44" s="9"/>
      <x:c r="F44" s="9"/>
      <x:c r="G44" s="9"/>
      <x:c r="H44" s="9"/>
    </x:row>
    <x:row r="45">
      <x:c r="A45" s="139" t="str">
        <x:v>• 행동 프로필이 없거나 해당 유형 관찰 이력이 없는 항목</x:v>
      </x:c>
      <x:c r="B45" s="139"/>
      <x:c r="C45" s="139"/>
      <x:c r="D45" s="139"/>
      <x:c r="E45" s="139"/>
      <x:c r="F45" s="139"/>
      <x:c r="G45" s="139"/>
      <x:c r="H45" s="139"/>
    </x:row>
    <x:row r="46">
      <x:c r="A46" s="139" t="str">
        <x:v>• 낮은 신뢰도 또는 유효 학습 수 1~4회의 희소 이력</x:v>
      </x:c>
      <x:c r="B46" s="139"/>
      <x:c r="C46" s="139"/>
      <x:c r="D46" s="139"/>
      <x:c r="E46" s="139"/>
      <x:c r="F46" s="139"/>
      <x:c r="G46" s="139"/>
      <x:c r="H46" s="139"/>
    </x:row>
    <x:row r="47">
      <x:c r="A47" s="139" t="str">
        <x:v>• 후보 부족 폴백, 취약 근거 0, 루브릭과 정성 판단이 다른 항목</x:v>
      </x:c>
      <x:c r="B47" s="139"/>
      <x:c r="C47" s="139"/>
      <x:c r="D47" s="139"/>
      <x:c r="E47" s="139"/>
      <x:c r="F47" s="139"/>
      <x:c r="G47" s="139"/>
      <x:c r="H47" s="139"/>
    </x:row>
    <x:row r="48">
      <x:c r="A48" s="139" t="str">
        <x:v>• 93개는 필터 이후 후보이므로 후보 검색 Recall과 Top 3 다양성은 별도 지표로 평가해야 합니다.</x:v>
      </x:c>
      <x:c r="B48" s="139"/>
      <x:c r="C48" s="139"/>
      <x:c r="D48" s="139"/>
      <x:c r="E48" s="139"/>
      <x:c r="F48" s="139"/>
      <x:c r="G48" s="139"/>
      <x:c r="H48" s="139"/>
    </x:row>
  </x:sheetData>
  <x:mergeCells>
    <x:mergeCell ref="A1:H1"/>
    <x:mergeCell ref="A2:H2"/>
    <x:mergeCell ref="A4:H4"/>
    <x:mergeCell ref="A31:H31"/>
    <x:mergeCell ref="A32:H32"/>
    <x:mergeCell ref="A33:H33"/>
    <x:mergeCell ref="A34:H34"/>
    <x:mergeCell ref="A35:H35"/>
    <x:mergeCell ref="A36:H36"/>
    <x:mergeCell ref="A38:H38"/>
    <x:mergeCell ref="A39:H39"/>
    <x:mergeCell ref="A40:H40"/>
    <x:mergeCell ref="A41:H41"/>
    <x:mergeCell ref="A42:H42"/>
    <x:mergeCell ref="A44:H44"/>
    <x:mergeCell ref="A45:H45"/>
    <x:mergeCell ref="A46:H46"/>
    <x:mergeCell ref="A47:H47"/>
    <x:mergeCell ref="A48:H48"/>
  </x:mergeCells>
  <x:conditionalFormatting sqref="A17:A19">
    <x:cfRule type="containsText" dxfId="20" priority="1" operator="containsText" text="high"/>
    <x:cfRule type="containsText" dxfId="21" priority="2" operator="containsText" text="medium"/>
    <x:cfRule type="containsText" dxfId="22" priority="3" operator="containsText" text="low"/>
  </x:conditionalFormatting>
  <x:conditionalFormatting sqref="A22:A24">
    <x:cfRule type="containsText" dxfId="23" priority="4" operator="containsText" text="high"/>
    <x:cfRule type="containsText" dxfId="24" priority="5" operator="containsText" text="medium"/>
    <x:cfRule type="containsText" dxfId="25" priority="6" operator="containsText" text="low"/>
  </x:conditionalFormatting>
  <x:conditionalFormatting sqref="A27:A29">
    <x:cfRule type="containsText" dxfId="26" priority="7" operator="containsText" text="high"/>
    <x:cfRule type="containsText" dxfId="27" priority="8" operator="containsText" text="medium"/>
    <x:cfRule type="containsText" dxfId="28" priority="9" operator="containsText" text="low"/>
  </x:conditionalFormatting>
  <x:conditionalFormatting sqref="B27:D29">
    <x:cfRule type="cellIs" dxfId="29" priority="10" operator="equal">
      <x:formula>3</x:formula>
    </x:cfRule>
    <x:cfRule type="cellIs" dxfId="30" priority="11" operator="equal">
      <x:formula>2</x:formula>
    </x:cfRule>
    <x:cfRule type="cellIs" dxfId="31" priority="12" operator="equal">
      <x:formula>1</x:formula>
    </x:cfRule>
    <x:cfRule type="cellIs" dxfId="32" priority="13" operator="equal">
      <x:formula>0</x:formula>
    </x:cfRule>
  </x:conditionalFormatting>
  <x:pageMargins left="0.7" right="0.7" top="0.75" bottom="0.75" header="0.3" footer="0.3"/>
</x:worksheet>
</file>